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isum Moyong\Desktop\new python codes\sasm bhavesh31\"/>
    </mc:Choice>
  </mc:AlternateContent>
  <xr:revisionPtr revIDLastSave="0" documentId="13_ncr:1_{52C9E5D1-5F6B-4794-9F93-267BF6CD7BC3}" xr6:coauthVersionLast="46" xr6:coauthVersionMax="46" xr10:uidLastSave="{00000000-0000-0000-0000-000000000000}"/>
  <bookViews>
    <workbookView xWindow="-120" yWindow="-120" windowWidth="19440" windowHeight="10440" activeTab="3" xr2:uid="{00000000-000D-0000-FFFF-FFFF00000000}"/>
  </bookViews>
  <sheets>
    <sheet name="HELPER" sheetId="1" r:id="rId1"/>
    <sheet name="Sheet1" sheetId="2" r:id="rId2"/>
    <sheet name="january" sheetId="3" r:id="rId3"/>
    <sheet name="march" sheetId="4" r:id="rId4"/>
  </sheets>
  <definedNames>
    <definedName name="Holidays">HELPER!$D$2:$D$13</definedName>
    <definedName name="Months">HELPER!$A$2:$A$13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0" i="4" l="1"/>
  <c r="AH10" i="4"/>
  <c r="AI9" i="4"/>
  <c r="AH9" i="4"/>
  <c r="AI8" i="4"/>
  <c r="AH8" i="4"/>
  <c r="AI7" i="4"/>
  <c r="AH7" i="4"/>
  <c r="D2" i="4"/>
  <c r="C5" i="4" s="1"/>
  <c r="AI10" i="3"/>
  <c r="AH10" i="3"/>
  <c r="AI9" i="3"/>
  <c r="AH9" i="3"/>
  <c r="D2" i="3"/>
  <c r="I2" i="3" s="1"/>
  <c r="R1" i="3"/>
  <c r="AI9" i="2"/>
  <c r="AI10" i="2"/>
  <c r="AH9" i="2"/>
  <c r="AH10" i="2"/>
  <c r="D2" i="2"/>
  <c r="I2" i="2" s="1"/>
  <c r="C3" i="4" l="1"/>
  <c r="C4" i="4"/>
  <c r="I2" i="4"/>
  <c r="D5" i="4" s="1"/>
  <c r="R1" i="4"/>
  <c r="C5" i="3"/>
  <c r="R1" i="2"/>
  <c r="C5" i="2"/>
  <c r="E5" i="4" l="1"/>
  <c r="D4" i="4"/>
  <c r="D3" i="4"/>
  <c r="D5" i="3"/>
  <c r="C4" i="3"/>
  <c r="C3" i="3"/>
  <c r="C4" i="2"/>
  <c r="D5" i="2"/>
  <c r="D3" i="2" s="1"/>
  <c r="C3" i="2"/>
  <c r="E3" i="4" l="1"/>
  <c r="F5" i="4"/>
  <c r="E4" i="4"/>
  <c r="D3" i="3"/>
  <c r="E5" i="3"/>
  <c r="D4" i="3"/>
  <c r="D4" i="2"/>
  <c r="E5" i="2"/>
  <c r="G5" i="4" l="1"/>
  <c r="F4" i="4"/>
  <c r="F3" i="4"/>
  <c r="E3" i="3"/>
  <c r="F5" i="3"/>
  <c r="E4" i="3"/>
  <c r="E4" i="2"/>
  <c r="F5" i="2"/>
  <c r="F3" i="2" s="1"/>
  <c r="E3" i="2"/>
  <c r="G3" i="4" l="1"/>
  <c r="H5" i="4"/>
  <c r="G4" i="4"/>
  <c r="AI8" i="2"/>
  <c r="F3" i="3"/>
  <c r="G5" i="3"/>
  <c r="F4" i="3"/>
  <c r="F4" i="2"/>
  <c r="G5" i="2"/>
  <c r="G3" i="2" s="1"/>
  <c r="I5" i="4" l="1"/>
  <c r="H4" i="4"/>
  <c r="H3" i="4"/>
  <c r="AI8" i="3"/>
  <c r="H5" i="3"/>
  <c r="G4" i="3"/>
  <c r="G3" i="3"/>
  <c r="G4" i="2"/>
  <c r="H5" i="2"/>
  <c r="H3" i="2" s="1"/>
  <c r="I3" i="4" l="1"/>
  <c r="J5" i="4"/>
  <c r="I4" i="4"/>
  <c r="H3" i="3"/>
  <c r="I5" i="3"/>
  <c r="H4" i="3"/>
  <c r="H4" i="2"/>
  <c r="I5" i="2"/>
  <c r="I3" i="2" s="1"/>
  <c r="K5" i="4" l="1"/>
  <c r="J4" i="4"/>
  <c r="J3" i="4"/>
  <c r="I3" i="3"/>
  <c r="J5" i="3"/>
  <c r="I4" i="3"/>
  <c r="I4" i="2"/>
  <c r="J5" i="2"/>
  <c r="J3" i="2" s="1"/>
  <c r="K3" i="4" l="1"/>
  <c r="L5" i="4"/>
  <c r="K4" i="4"/>
  <c r="J3" i="3"/>
  <c r="K5" i="3"/>
  <c r="J4" i="3"/>
  <c r="J4" i="2"/>
  <c r="K5" i="2"/>
  <c r="K3" i="2" s="1"/>
  <c r="M5" i="4" l="1"/>
  <c r="L4" i="4"/>
  <c r="AI6" i="4" s="1"/>
  <c r="L3" i="4"/>
  <c r="L5" i="3"/>
  <c r="K4" i="3"/>
  <c r="K3" i="3"/>
  <c r="K4" i="2"/>
  <c r="L5" i="2"/>
  <c r="M3" i="4" l="1"/>
  <c r="M4" i="4"/>
  <c r="N5" i="4"/>
  <c r="L3" i="3"/>
  <c r="M5" i="3"/>
  <c r="L4" i="3"/>
  <c r="L4" i="2"/>
  <c r="M5" i="2"/>
  <c r="M3" i="2" s="1"/>
  <c r="L3" i="2"/>
  <c r="O5" i="4" l="1"/>
  <c r="N4" i="4"/>
  <c r="N3" i="4"/>
  <c r="M3" i="3"/>
  <c r="N5" i="3"/>
  <c r="M4" i="3"/>
  <c r="M4" i="2"/>
  <c r="N5" i="2"/>
  <c r="N3" i="2" s="1"/>
  <c r="O3" i="4" l="1"/>
  <c r="P5" i="4"/>
  <c r="O4" i="4"/>
  <c r="N3" i="3"/>
  <c r="O5" i="3"/>
  <c r="N4" i="3"/>
  <c r="N4" i="2"/>
  <c r="O5" i="2"/>
  <c r="O3" i="2" s="1"/>
  <c r="Q5" i="4" l="1"/>
  <c r="P4" i="4"/>
  <c r="P3" i="4"/>
  <c r="P5" i="3"/>
  <c r="O4" i="3"/>
  <c r="O3" i="3"/>
  <c r="O4" i="2"/>
  <c r="P5" i="2"/>
  <c r="Q3" i="4" l="1"/>
  <c r="R5" i="4"/>
  <c r="Q4" i="4"/>
  <c r="P3" i="3"/>
  <c r="Q5" i="3"/>
  <c r="P4" i="3"/>
  <c r="P4" i="2"/>
  <c r="Q5" i="2"/>
  <c r="Q3" i="2" s="1"/>
  <c r="P3" i="2"/>
  <c r="S5" i="4" l="1"/>
  <c r="R4" i="4"/>
  <c r="R3" i="4"/>
  <c r="Q3" i="3"/>
  <c r="R5" i="3"/>
  <c r="Q4" i="3"/>
  <c r="Q4" i="2"/>
  <c r="R5" i="2"/>
  <c r="R3" i="2" s="1"/>
  <c r="S3" i="4" l="1"/>
  <c r="T5" i="4"/>
  <c r="S4" i="4"/>
  <c r="R3" i="3"/>
  <c r="S5" i="3"/>
  <c r="R4" i="3"/>
  <c r="R4" i="2"/>
  <c r="S5" i="2"/>
  <c r="U5" i="4" l="1"/>
  <c r="T4" i="4"/>
  <c r="T3" i="4"/>
  <c r="T5" i="3"/>
  <c r="S4" i="3"/>
  <c r="S3" i="3"/>
  <c r="S4" i="2"/>
  <c r="T5" i="2"/>
  <c r="T3" i="2" s="1"/>
  <c r="S3" i="2"/>
  <c r="U3" i="4" l="1"/>
  <c r="V5" i="4"/>
  <c r="U4" i="4"/>
  <c r="T3" i="3"/>
  <c r="U5" i="3"/>
  <c r="T4" i="3"/>
  <c r="T4" i="2"/>
  <c r="U5" i="2"/>
  <c r="W5" i="4" l="1"/>
  <c r="V4" i="4"/>
  <c r="V3" i="4"/>
  <c r="U3" i="3"/>
  <c r="V5" i="3"/>
  <c r="U4" i="3"/>
  <c r="U4" i="2"/>
  <c r="V5" i="2"/>
  <c r="V3" i="2" s="1"/>
  <c r="U3" i="2"/>
  <c r="W3" i="4" l="1"/>
  <c r="X5" i="4"/>
  <c r="W4" i="4"/>
  <c r="V3" i="3"/>
  <c r="W5" i="3"/>
  <c r="V4" i="3"/>
  <c r="V4" i="2"/>
  <c r="W5" i="2"/>
  <c r="Y5" i="4" l="1"/>
  <c r="X4" i="4"/>
  <c r="X3" i="4"/>
  <c r="X5" i="3"/>
  <c r="W4" i="3"/>
  <c r="W3" i="3"/>
  <c r="W4" i="2"/>
  <c r="X5" i="2"/>
  <c r="X3" i="2" s="1"/>
  <c r="W3" i="2"/>
  <c r="Y3" i="4" l="1"/>
  <c r="Z5" i="4"/>
  <c r="Y4" i="4"/>
  <c r="X3" i="3"/>
  <c r="Y5" i="3"/>
  <c r="X4" i="3"/>
  <c r="X4" i="2"/>
  <c r="Y5" i="2"/>
  <c r="AA5" i="4" l="1"/>
  <c r="Z4" i="4"/>
  <c r="Z3" i="4"/>
  <c r="Y3" i="3"/>
  <c r="Z5" i="3"/>
  <c r="Y4" i="3"/>
  <c r="Y4" i="2"/>
  <c r="Z5" i="2"/>
  <c r="Z3" i="2" s="1"/>
  <c r="Y3" i="2"/>
  <c r="AA3" i="4" l="1"/>
  <c r="AB5" i="4"/>
  <c r="AA4" i="4"/>
  <c r="Z3" i="3"/>
  <c r="AA5" i="3"/>
  <c r="Z4" i="3"/>
  <c r="Z4" i="2"/>
  <c r="AA5" i="2"/>
  <c r="AC5" i="4" l="1"/>
  <c r="AB4" i="4"/>
  <c r="AB3" i="4"/>
  <c r="AB5" i="3"/>
  <c r="AA4" i="3"/>
  <c r="AA3" i="3"/>
  <c r="AA4" i="2"/>
  <c r="AB5" i="2"/>
  <c r="AB3" i="2" s="1"/>
  <c r="AA3" i="2"/>
  <c r="AC3" i="4" l="1"/>
  <c r="AD5" i="4"/>
  <c r="AC4" i="4"/>
  <c r="AB3" i="3"/>
  <c r="AC5" i="3"/>
  <c r="AB4" i="3"/>
  <c r="AB4" i="2"/>
  <c r="AC5" i="2"/>
  <c r="AE5" i="4" l="1"/>
  <c r="AD4" i="4"/>
  <c r="AD3" i="4"/>
  <c r="AC3" i="3"/>
  <c r="AI7" i="3" s="1"/>
  <c r="AD5" i="3"/>
  <c r="AC4" i="3"/>
  <c r="AC4" i="2"/>
  <c r="AD5" i="2"/>
  <c r="AD3" i="2" s="1"/>
  <c r="AC3" i="2"/>
  <c r="AI7" i="2" s="1"/>
  <c r="AE3" i="4" l="1"/>
  <c r="AE4" i="4"/>
  <c r="AF5" i="4"/>
  <c r="AD3" i="3"/>
  <c r="AE5" i="3"/>
  <c r="AD4" i="3"/>
  <c r="AD4" i="2"/>
  <c r="AE5" i="2"/>
  <c r="AE3" i="2" s="1"/>
  <c r="AG5" i="4" l="1"/>
  <c r="AF4" i="4"/>
  <c r="AF3" i="4"/>
  <c r="AF5" i="3"/>
  <c r="AE4" i="3"/>
  <c r="AE3" i="3"/>
  <c r="AE4" i="2"/>
  <c r="AF5" i="2"/>
  <c r="AF3" i="2" s="1"/>
  <c r="AG3" i="4" l="1"/>
  <c r="AG4" i="4"/>
  <c r="AH6" i="4" s="1"/>
  <c r="AF3" i="3"/>
  <c r="AG5" i="3"/>
  <c r="AF4" i="3"/>
  <c r="AF4" i="2"/>
  <c r="AG5" i="2"/>
  <c r="AG4" i="2" s="1"/>
  <c r="AG3" i="3" l="1"/>
  <c r="AG4" i="3"/>
  <c r="AG3" i="2"/>
  <c r="AH8" i="2" l="1"/>
  <c r="AH7" i="2"/>
  <c r="AH6" i="2"/>
  <c r="AI6" i="2"/>
  <c r="AH6" i="3"/>
  <c r="AH7" i="3"/>
  <c r="AH8" i="3"/>
  <c r="AI6" i="3"/>
</calcChain>
</file>

<file path=xl/sharedStrings.xml><?xml version="1.0" encoding="utf-8"?>
<sst xmlns="http://schemas.openxmlformats.org/spreadsheetml/2006/main" count="165" uniqueCount="46">
  <si>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</si>
  <si>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</si>
  <si>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</si>
  <si>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</si>
  <si>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</si>
  <si>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</si>
  <si>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</si>
  <si>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</si>
  <si>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</si>
  <si>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</si>
  <si>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</si>
  <si>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</si>
  <si>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</si>
  <si>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Holidays</t>
  </si>
  <si>
    <t>New Year's Day</t>
  </si>
  <si>
    <t>Lohri</t>
  </si>
  <si>
    <t>Pongal</t>
  </si>
  <si>
    <t>Makar Sankranti</t>
  </si>
  <si>
    <t>Republic Day</t>
  </si>
  <si>
    <t>May Day</t>
  </si>
  <si>
    <t>Jamat Ul-Vida</t>
  </si>
  <si>
    <t>Mother's Day</t>
  </si>
  <si>
    <t>Father's Day</t>
  </si>
  <si>
    <t>June Solstice</t>
  </si>
  <si>
    <t>Rath Yatra</t>
  </si>
  <si>
    <t>Onam</t>
  </si>
  <si>
    <t>Start Date</t>
  </si>
  <si>
    <t>End Date</t>
  </si>
  <si>
    <t>ROLL_NO</t>
  </si>
  <si>
    <t>NAME</t>
  </si>
  <si>
    <t>18BCA001</t>
  </si>
  <si>
    <t>18BCA002</t>
  </si>
  <si>
    <t>18BCA003</t>
  </si>
  <si>
    <t>18BCA004</t>
  </si>
  <si>
    <t>Amha V Richa</t>
  </si>
  <si>
    <t>Aisum Moyong</t>
  </si>
  <si>
    <t>John Cheda</t>
  </si>
  <si>
    <t>Tari Nako</t>
  </si>
  <si>
    <t>18bca005</t>
  </si>
  <si>
    <t>Kago Moda</t>
  </si>
  <si>
    <t>PRESENT</t>
  </si>
  <si>
    <t>ABSENT</t>
  </si>
  <si>
    <t>P</t>
  </si>
  <si>
    <t xml:space="preserve">P </t>
  </si>
  <si>
    <t>A</t>
  </si>
  <si>
    <t xml:space="preserve">ATTENDANCE FOR THE MONTH OF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</si>
</sst>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yyyy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sto MT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1"/>
    <xf numFmtId="14" fontId="0" fillId="0" borderId="0" xfId="0" applyNumberFormat="1"/>
    <xf numFmtId="0" fontId="2" fillId="2" borderId="1" xfId="1" applyFill="1" applyBorder="1" applyAlignment="1">
      <alignment horizontal="left" vertical="top" wrapText="1"/>
    </xf>
    <xf numFmtId="0" fontId="0" fillId="3" borderId="2" xfId="0" applyFill="1" applyBorder="1"/>
    <xf numFmtId="164" fontId="0" fillId="3" borderId="3" xfId="0" applyNumberFormat="1" applyFill="1" applyBorder="1"/>
    <xf numFmtId="0" fontId="0" fillId="0" borderId="2" xfId="0" applyBorder="1"/>
    <xf numFmtId="0" fontId="0" fillId="3" borderId="4" xfId="0" applyFill="1" applyBorder="1"/>
    <xf numFmtId="164" fontId="0" fillId="3" borderId="4" xfId="0" applyNumberFormat="1" applyFill="1" applyBorder="1"/>
    <xf numFmtId="0" fontId="0" fillId="0" borderId="5" xfId="0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12">
    <dxf>
      <font>
        <color theme="9" tint="-0.2499465926084170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-0.2499465926084170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-0.2499465926084170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254738</xdr:colOff>
      <xdr:row>0</xdr:row>
      <xdr:rowOff>33228</xdr:rowOff>
    </xdr:from>
    <xdr:to>
      <xdr:col>30</xdr:col>
      <xdr:colOff>243663</xdr:colOff>
      <xdr:row>1</xdr:row>
      <xdr:rowOff>155060</xdr:rowOff>
    </xdr:to>
    <xdr:sp macro="[0]!Sheet2.Copyrenamework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2021D5-AC84-4CAD-B1C1-BFDDC751D26D}"/>
            </a:ext>
          </a:extLst>
        </xdr:cNvPr>
        <xdr:cNvSpPr/>
      </xdr:nvSpPr>
      <xdr:spPr>
        <a:xfrm>
          <a:off x="8594651" y="33228"/>
          <a:ext cx="2192965" cy="32119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 b="1" i="1" baseline="0">
              <a:latin typeface="Arial Narrow" panose="020B0606020202030204" pitchFamily="34" charset="0"/>
            </a:rPr>
            <a:t>                   </a:t>
          </a:r>
          <a:r>
            <a:rPr lang="en-IN" sz="1100" b="1" i="1">
              <a:latin typeface="Arial Narrow" panose="020B0606020202030204" pitchFamily="34" charset="0"/>
            </a:rPr>
            <a:t>COPY SHEET</a:t>
          </a:r>
        </a:p>
      </xdr:txBody>
    </xdr:sp>
    <xdr:clientData/>
  </xdr:twoCellAnchor>
  <xdr:twoCellAnchor>
    <xdr:from>
      <xdr:col>30</xdr:col>
      <xdr:colOff>243663</xdr:colOff>
      <xdr:row>0</xdr:row>
      <xdr:rowOff>33228</xdr:rowOff>
    </xdr:from>
    <xdr:to>
      <xdr:col>34</xdr:col>
      <xdr:colOff>764215</xdr:colOff>
      <xdr:row>1</xdr:row>
      <xdr:rowOff>155059</xdr:rowOff>
    </xdr:to>
    <xdr:sp macro="[0]!Clearcel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54F30B-7A3B-489E-B67E-DD38E0866A87}"/>
            </a:ext>
          </a:extLst>
        </xdr:cNvPr>
        <xdr:cNvSpPr/>
      </xdr:nvSpPr>
      <xdr:spPr>
        <a:xfrm>
          <a:off x="10787616" y="33228"/>
          <a:ext cx="2115436" cy="321191"/>
        </a:xfrm>
        <a:prstGeom prst="roundRect">
          <a:avLst>
            <a:gd name="adj" fmla="val 8333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 i="1">
              <a:solidFill>
                <a:sysClr val="windowText" lastClr="000000"/>
              </a:solidFill>
              <a:latin typeface="Arial Narrow" panose="020B0606020202030204" pitchFamily="34" charset="0"/>
            </a:rPr>
            <a:t>          CLEAR</a:t>
          </a:r>
          <a:r>
            <a:rPr lang="en-IN" sz="1100" b="1" i="1">
              <a:latin typeface="Arial Narrow" panose="020B0606020202030204" pitchFamily="34" charset="0"/>
            </a:rPr>
            <a:t> </a:t>
          </a:r>
          <a:r>
            <a:rPr lang="en-IN" sz="1100" b="1" i="1">
              <a:solidFill>
                <a:schemeClr val="tx1"/>
              </a:solidFill>
              <a:latin typeface="Arial Narrow" panose="020B0606020202030204" pitchFamily="34" charset="0"/>
            </a:rPr>
            <a:t>SHHET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254738</xdr:colOff>
      <xdr:row>0</xdr:row>
      <xdr:rowOff>33228</xdr:rowOff>
    </xdr:from>
    <xdr:to>
      <xdr:col>30</xdr:col>
      <xdr:colOff>243663</xdr:colOff>
      <xdr:row>1</xdr:row>
      <xdr:rowOff>155060</xdr:rowOff>
    </xdr:to>
    <xdr:sp macro="[0]!Sheet2.Copyrenamework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E1D8268-4FE5-418E-A035-981FC32E07F0}"/>
            </a:ext>
          </a:extLst>
        </xdr:cNvPr>
        <xdr:cNvSpPr/>
      </xdr:nvSpPr>
      <xdr:spPr>
        <a:xfrm>
          <a:off x="8598638" y="33228"/>
          <a:ext cx="2179675" cy="32185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 b="1" i="1" baseline="0">
              <a:latin typeface="Arial Narrow" panose="020B0606020202030204" pitchFamily="34" charset="0"/>
            </a:rPr>
            <a:t>                   </a:t>
          </a:r>
          <a:r>
            <a:rPr lang="en-IN" sz="1100" b="1" i="1">
              <a:latin typeface="Arial Narrow" panose="020B0606020202030204" pitchFamily="34" charset="0"/>
            </a:rPr>
            <a:t>COPY SHEET</a:t>
          </a:r>
        </a:p>
      </xdr:txBody>
    </xdr:sp>
    <xdr:clientData/>
  </xdr:twoCellAnchor>
  <xdr:twoCellAnchor>
    <xdr:from>
      <xdr:col>31</xdr:col>
      <xdr:colOff>11076</xdr:colOff>
      <xdr:row>0</xdr:row>
      <xdr:rowOff>33228</xdr:rowOff>
    </xdr:from>
    <xdr:to>
      <xdr:col>35</xdr:col>
      <xdr:colOff>11076</xdr:colOff>
      <xdr:row>1</xdr:row>
      <xdr:rowOff>155059</xdr:rowOff>
    </xdr:to>
    <xdr:sp macro="[0]!Clearcel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F9F96D-55D7-46B3-8CDD-EA3BB43B3566}"/>
            </a:ext>
          </a:extLst>
        </xdr:cNvPr>
        <xdr:cNvSpPr/>
      </xdr:nvSpPr>
      <xdr:spPr>
        <a:xfrm>
          <a:off x="10812426" y="33228"/>
          <a:ext cx="2105025" cy="321856"/>
        </a:xfrm>
        <a:prstGeom prst="roundRect">
          <a:avLst>
            <a:gd name="adj" fmla="val 8333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 i="1">
              <a:solidFill>
                <a:sysClr val="windowText" lastClr="000000"/>
              </a:solidFill>
              <a:latin typeface="Arial Narrow" panose="020B0606020202030204" pitchFamily="34" charset="0"/>
            </a:rPr>
            <a:t>          CLEAR</a:t>
          </a:r>
          <a:r>
            <a:rPr lang="en-IN" sz="1100" b="1" i="1">
              <a:latin typeface="Arial Narrow" panose="020B0606020202030204" pitchFamily="34" charset="0"/>
            </a:rPr>
            <a:t> </a:t>
          </a:r>
          <a:r>
            <a:rPr lang="en-IN" sz="1100" b="1" i="1">
              <a:solidFill>
                <a:schemeClr val="tx1"/>
              </a:solidFill>
              <a:latin typeface="Arial Narrow" panose="020B0606020202030204" pitchFamily="34" charset="0"/>
            </a:rPr>
            <a:t>SHHET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254738</xdr:colOff>
      <xdr:row>0</xdr:row>
      <xdr:rowOff>33228</xdr:rowOff>
    </xdr:from>
    <xdr:to>
      <xdr:col>30</xdr:col>
      <xdr:colOff>243663</xdr:colOff>
      <xdr:row>1</xdr:row>
      <xdr:rowOff>155060</xdr:rowOff>
    </xdr:to>
    <xdr:sp macro="[0]!Sheet2.Copyrenamework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D1A52A-94D3-489F-A313-1504D965F4CA}"/>
            </a:ext>
          </a:extLst>
        </xdr:cNvPr>
        <xdr:cNvSpPr/>
      </xdr:nvSpPr>
      <xdr:spPr>
        <a:xfrm>
          <a:off x="8598638" y="33228"/>
          <a:ext cx="2179675" cy="32185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 b="1" i="1" baseline="0">
              <a:latin typeface="Arial Narrow" panose="020B0606020202030204" pitchFamily="34" charset="0"/>
            </a:rPr>
            <a:t>                   </a:t>
          </a:r>
          <a:r>
            <a:rPr lang="en-IN" sz="1100" b="1" i="1">
              <a:latin typeface="Arial Narrow" panose="020B0606020202030204" pitchFamily="34" charset="0"/>
            </a:rPr>
            <a:t>COPY SHEET</a:t>
          </a:r>
        </a:p>
      </xdr:txBody>
    </xdr:sp>
    <xdr:clientData/>
  </xdr:twoCellAnchor>
  <xdr:twoCellAnchor>
    <xdr:from>
      <xdr:col>30</xdr:col>
      <xdr:colOff>243663</xdr:colOff>
      <xdr:row>0</xdr:row>
      <xdr:rowOff>33228</xdr:rowOff>
    </xdr:from>
    <xdr:to>
      <xdr:col>34</xdr:col>
      <xdr:colOff>764215</xdr:colOff>
      <xdr:row>1</xdr:row>
      <xdr:rowOff>155059</xdr:rowOff>
    </xdr:to>
    <xdr:sp macro="[0]!Clearcel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DE22FA7-85CB-4EC4-B192-D760FCE2B651}"/>
            </a:ext>
          </a:extLst>
        </xdr:cNvPr>
        <xdr:cNvSpPr/>
      </xdr:nvSpPr>
      <xdr:spPr>
        <a:xfrm>
          <a:off x="10778313" y="33228"/>
          <a:ext cx="2111227" cy="321856"/>
        </a:xfrm>
        <a:prstGeom prst="roundRect">
          <a:avLst>
            <a:gd name="adj" fmla="val 8333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 i="1">
              <a:solidFill>
                <a:sysClr val="windowText" lastClr="000000"/>
              </a:solidFill>
              <a:latin typeface="Arial Narrow" panose="020B0606020202030204" pitchFamily="34" charset="0"/>
            </a:rPr>
            <a:t>          CLEAR</a:t>
          </a:r>
          <a:r>
            <a:rPr lang="en-IN" sz="1100" b="1" i="1">
              <a:latin typeface="Arial Narrow" panose="020B0606020202030204" pitchFamily="34" charset="0"/>
            </a:rPr>
            <a:t> </a:t>
          </a:r>
          <a:r>
            <a:rPr lang="en-IN" sz="1100" b="1" i="1">
              <a:solidFill>
                <a:schemeClr val="tx1"/>
              </a:solidFill>
              <a:latin typeface="Arial Narrow" panose="020B0606020202030204" pitchFamily="34" charset="0"/>
            </a:rPr>
            <a:t>SHHET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eanddate.com/holidays/india/mother-day" TargetMode="External"/><Relationship Id="rId3" Type="http://schemas.openxmlformats.org/officeDocument/2006/relationships/hyperlink" Target="https://www.timeanddate.com/holidays/india/pongal" TargetMode="External"/><Relationship Id="rId7" Type="http://schemas.openxmlformats.org/officeDocument/2006/relationships/hyperlink" Target="https://www.timeanddate.com/holidays/india/jamat-ul-vida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https://www.timeanddate.com/holidays/india/lohri" TargetMode="External"/><Relationship Id="rId1" Type="http://schemas.openxmlformats.org/officeDocument/2006/relationships/hyperlink" Target="https://www.timeanddate.com/holidays/india/new-year-day" TargetMode="External"/><Relationship Id="rId6" Type="http://schemas.openxmlformats.org/officeDocument/2006/relationships/hyperlink" Target="https://www.timeanddate.com/holidays/india/may-day" TargetMode="External"/><Relationship Id="rId11" Type="http://schemas.openxmlformats.org/officeDocument/2006/relationships/hyperlink" Target="https://www.timeanddate.com/holidays/india/onam" TargetMode="External"/><Relationship Id="rId5" Type="http://schemas.openxmlformats.org/officeDocument/2006/relationships/hyperlink" Target="https://www.timeanddate.com/holidays/india/republic-day" TargetMode="External"/><Relationship Id="rId10" Type="http://schemas.openxmlformats.org/officeDocument/2006/relationships/hyperlink" Target="https://www.timeanddate.com/holidays/india/rath-yatra" TargetMode="External"/><Relationship Id="rId4" Type="http://schemas.openxmlformats.org/officeDocument/2006/relationships/hyperlink" Target="https://www.timeanddate.com/holidays/india/makar-sankranti" TargetMode="External"/><Relationship Id="rId9" Type="http://schemas.openxmlformats.org/officeDocument/2006/relationships/hyperlink" Target="https://www.timeanddate.com/calendar/june-solstice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3"/>
  <sheetViews>
    <sheetView workbookViewId="0">
      <selection activeCell="D2" sqref="D2:D13"/>
    </sheetView>
  </sheetViews>
  <sheetFormatPr defaultRowHeight="15" x14ac:dyDescent="0.25"/>
  <cols>
    <col min="1" max="1" width="18.28515625" customWidth="1"/>
    <col min="3" max="3" width="15.5703125" customWidth="1"/>
    <col min="4" max="4" width="10.42578125" bestFit="1" customWidth="1"/>
  </cols>
  <sheetData>
    <row r="1" spans="1:4" x14ac:dyDescent="0.25">
      <c r="A1" t="s">
        <v>0</v>
      </c>
      <c r="C1" t="s">
        <v>13</v>
      </c>
    </row>
    <row r="2" spans="1:4" x14ac:dyDescent="0.25">
      <c r="A2" t="s">
        <v>1</v>
      </c>
      <c r="C2" s="1" t="s">
        <v>14</v>
      </c>
      <c r="D2" s="2">
        <v>44197</v>
      </c>
    </row>
    <row r="3" spans="1:4" x14ac:dyDescent="0.25">
      <c r="A3" t="s">
        <v>2</v>
      </c>
      <c r="C3" s="1" t="s">
        <v>15</v>
      </c>
      <c r="D3" s="2">
        <v>44209</v>
      </c>
    </row>
    <row r="4" spans="1:4" x14ac:dyDescent="0.25">
      <c r="A4" t="s">
        <v>3</v>
      </c>
      <c r="C4" s="1" t="s">
        <v>16</v>
      </c>
      <c r="D4" s="2">
        <v>44210</v>
      </c>
    </row>
    <row r="5" spans="1:4" x14ac:dyDescent="0.25">
      <c r="A5" t="s">
        <v>4</v>
      </c>
      <c r="C5" s="1" t="s">
        <v>17</v>
      </c>
      <c r="D5" s="2">
        <v>44210</v>
      </c>
    </row>
    <row r="6" spans="1:4" x14ac:dyDescent="0.25">
      <c r="A6" t="s">
        <v>5</v>
      </c>
      <c r="C6" s="1" t="s">
        <v>18</v>
      </c>
      <c r="D6" s="2">
        <v>44253</v>
      </c>
    </row>
    <row r="7" spans="1:4" x14ac:dyDescent="0.25">
      <c r="A7" t="s">
        <v>6</v>
      </c>
      <c r="C7" s="1" t="s">
        <v>19</v>
      </c>
      <c r="D7" s="2">
        <v>44317</v>
      </c>
    </row>
    <row r="8" spans="1:4" x14ac:dyDescent="0.25">
      <c r="A8" t="s">
        <v>7</v>
      </c>
      <c r="C8" s="1" t="s">
        <v>20</v>
      </c>
      <c r="D8" s="2">
        <v>44323</v>
      </c>
    </row>
    <row r="9" spans="1:4" x14ac:dyDescent="0.25">
      <c r="A9" t="s">
        <v>8</v>
      </c>
      <c r="C9" s="1" t="s">
        <v>21</v>
      </c>
      <c r="D9" s="2">
        <v>44325</v>
      </c>
    </row>
    <row r="10" spans="1:4" ht="15.75" thickBot="1" x14ac:dyDescent="0.3">
      <c r="A10" t="s">
        <v>9</v>
      </c>
      <c r="C10" t="s">
        <v>22</v>
      </c>
      <c r="D10" s="2">
        <v>44367</v>
      </c>
    </row>
    <row r="11" spans="1:4" ht="15.75" thickBot="1" x14ac:dyDescent="0.3">
      <c r="A11" t="s">
        <v>10</v>
      </c>
      <c r="C11" s="3" t="s">
        <v>23</v>
      </c>
      <c r="D11" s="2">
        <v>44368</v>
      </c>
    </row>
    <row r="12" spans="1:4" x14ac:dyDescent="0.25">
      <c r="A12" t="s">
        <v>11</v>
      </c>
      <c r="C12" s="1" t="s">
        <v>24</v>
      </c>
      <c r="D12" s="2">
        <v>44389</v>
      </c>
    </row>
    <row r="13" spans="1:4" x14ac:dyDescent="0.25">
      <c r="A13" t="s">
        <v>12</v>
      </c>
      <c r="C13" s="1" t="s">
        <v>25</v>
      </c>
      <c r="D13" s="2">
        <v>44197</v>
      </c>
    </row>
  </sheetData>
  <phoneticPr fontId="1" type="noConversion"/>
  <hyperlinks>
    <hyperlink ref="C2" r:id="rId1" display="https://www.timeanddate.com/holidays/india/new-year-day" xr:uid="{195DE18A-841C-470F-9753-99BBD5211B09}"/>
    <hyperlink ref="C3" r:id="rId2" display="https://www.timeanddate.com/holidays/india/lohri" xr:uid="{00472B18-EC18-4F3D-8B4A-2ECA48963D3E}"/>
    <hyperlink ref="C4" r:id="rId3" display="https://www.timeanddate.com/holidays/india/pongal" xr:uid="{4A21421D-DD0B-40D4-B3E6-EFCFCFA2161E}"/>
    <hyperlink ref="C5" r:id="rId4" display="https://www.timeanddate.com/holidays/india/makar-sankranti" xr:uid="{C6494EEC-45DE-41A4-B039-6AB29E52265E}"/>
    <hyperlink ref="C6" r:id="rId5" display="https://www.timeanddate.com/holidays/india/republic-day" xr:uid="{EA3F6D11-D3EA-4EE2-9C6F-7D9F97B25EFD}"/>
    <hyperlink ref="C7" r:id="rId6" display="https://www.timeanddate.com/holidays/india/may-day" xr:uid="{16BC868D-5B8B-4F3D-B825-6F8318CE583E}"/>
    <hyperlink ref="C8" r:id="rId7" display="https://www.timeanddate.com/holidays/india/jamat-ul-vida" xr:uid="{46A78ABB-15E8-4E8D-BE2F-22134CC981E4}"/>
    <hyperlink ref="C9" r:id="rId8" display="https://www.timeanddate.com/holidays/india/mother-day" xr:uid="{A92A8DFE-14F2-4BDC-AFD1-8A529531A189}"/>
    <hyperlink ref="C11" r:id="rId9" display="https://www.timeanddate.com/calendar/june-solstice.html" xr:uid="{C9682E82-5ED7-4AFD-B1B3-85D6141BED53}"/>
    <hyperlink ref="C12" r:id="rId10" display="https://www.timeanddate.com/holidays/india/rath-yatra" xr:uid="{7776C6D6-D830-43E2-8DD7-2742680AC101}"/>
    <hyperlink ref="C13" r:id="rId11" display="https://www.timeanddate.com/holidays/india/onam" xr:uid="{C71CB02A-7220-4F4D-A9C0-FCF975472AD5}"/>
  </hyperlinks>
  <pageMargins left="0.7" right="0.7" top="0.75" bottom="0.75" header="0.3" footer="0.3"/>
  <pageSetup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B8240-650D-46B2-9808-6D88DC50A486}">
  <sheetPr codeName="Sheet2"/>
  <dimension ref="A1:AI11"/>
  <sheetViews>
    <sheetView zoomScale="86" zoomScaleNormal="86" workbookViewId="0">
      <selection activeCell="D7" sqref="D7"/>
    </sheetView>
  </sheetViews>
  <sheetFormatPr defaultRowHeight="15" x14ac:dyDescent="0.25"/>
  <cols>
    <col min="1" max="1" width="14.42578125" customWidth="1"/>
    <col min="2" max="2" width="19.7109375" customWidth="1"/>
    <col min="3" max="3" width="9.42578125" customWidth="1"/>
    <col min="4" max="4" width="4.85546875" customWidth="1"/>
    <col min="5" max="5" width="4.5703125" customWidth="1"/>
    <col min="6" max="6" width="3.7109375" customWidth="1"/>
    <col min="7" max="7" width="3.85546875" customWidth="1"/>
    <col min="8" max="8" width="8.42578125" customWidth="1"/>
    <col min="9" max="9" width="3.7109375" customWidth="1"/>
    <col min="10" max="10" width="4.28515625" customWidth="1"/>
    <col min="11" max="11" width="3.7109375" customWidth="1"/>
    <col min="12" max="12" width="5" customWidth="1"/>
    <col min="13" max="13" width="3.85546875" customWidth="1"/>
    <col min="14" max="15" width="4" customWidth="1"/>
    <col min="16" max="16" width="3.7109375" customWidth="1"/>
    <col min="17" max="17" width="4.42578125" customWidth="1"/>
    <col min="18" max="18" width="3.85546875" customWidth="1"/>
    <col min="19" max="19" width="4.42578125" customWidth="1"/>
    <col min="20" max="20" width="3.85546875" customWidth="1"/>
    <col min="21" max="21" width="3.7109375" customWidth="1"/>
    <col min="22" max="22" width="3.5703125" customWidth="1"/>
    <col min="23" max="23" width="4" customWidth="1"/>
    <col min="24" max="24" width="4.42578125" customWidth="1"/>
    <col min="25" max="25" width="4.28515625" customWidth="1"/>
    <col min="26" max="26" width="4.85546875" customWidth="1"/>
    <col min="27" max="27" width="3.85546875" customWidth="1"/>
    <col min="28" max="29" width="3.5703125" customWidth="1"/>
    <col min="30" max="30" width="4.28515625" customWidth="1"/>
    <col min="31" max="31" width="4" customWidth="1"/>
    <col min="32" max="32" width="4.28515625" customWidth="1"/>
    <col min="33" max="33" width="4.42578125" customWidth="1"/>
    <col min="34" max="34" width="11.140625" customWidth="1"/>
    <col min="35" max="35" width="11.7109375" customWidth="1"/>
    <col min="36" max="36" width="12.5703125" customWidth="1"/>
  </cols>
  <sheetData>
    <row r="1" spans="1:35" ht="15.75" x14ac:dyDescent="0.25">
      <c r="A1" s="12" t="s">
        <v>45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 t="s">
        <v>3</v>
      </c>
      <c r="N1" s="13"/>
      <c r="O1" s="13"/>
      <c r="P1" s="13"/>
      <c r="Q1" s="13"/>
      <c r="R1" s="10">
        <f>D2</f>
        <v>44256</v>
      </c>
      <c r="S1" s="10"/>
      <c r="T1" s="10"/>
    </row>
    <row r="2" spans="1:35" x14ac:dyDescent="0.25">
      <c r="C2" t="s">
        <v>26</v>
      </c>
      <c r="D2" s="11">
        <f>DATEVALUE("1"&amp;M1)</f>
        <v>44256</v>
      </c>
      <c r="E2" s="11"/>
      <c r="F2" s="11"/>
      <c r="H2" t="s">
        <v>27</v>
      </c>
      <c r="I2" s="11">
        <f>EOMONTH(D2,0)</f>
        <v>44286</v>
      </c>
      <c r="J2" s="11"/>
      <c r="K2" s="11"/>
    </row>
    <row r="3" spans="1:35" x14ac:dyDescent="0.25">
      <c r="C3">
        <f t="shared" ref="C3:AG3" si="0">IFERROR(IF(C5="",1,MATCH(C5,Holidays,0)),0)</f>
        <v>0</v>
      </c>
      <c r="D3">
        <f t="shared" si="0"/>
        <v>0</v>
      </c>
      <c r="E3">
        <f t="shared" si="0"/>
        <v>0</v>
      </c>
      <c r="F3">
        <f t="shared" si="0"/>
        <v>0</v>
      </c>
      <c r="G3">
        <f t="shared" si="0"/>
        <v>0</v>
      </c>
      <c r="H3">
        <f t="shared" si="0"/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0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</row>
    <row r="4" spans="1:35" x14ac:dyDescent="0.25">
      <c r="A4" s="4"/>
      <c r="B4" s="4"/>
      <c r="C4" s="7" t="str">
        <f>TEXT(C5,"ddd")</f>
        <v>Mon</v>
      </c>
      <c r="D4" s="4" t="str">
        <f t="shared" ref="D4:AG4" si="1">TEXT(D5,"ddd")</f>
        <v>Tue</v>
      </c>
      <c r="E4" s="4" t="str">
        <f t="shared" si="1"/>
        <v>Wed</v>
      </c>
      <c r="F4" s="4" t="str">
        <f t="shared" si="1"/>
        <v>Thu</v>
      </c>
      <c r="G4" s="4" t="str">
        <f t="shared" si="1"/>
        <v>Fri</v>
      </c>
      <c r="H4" s="4" t="str">
        <f t="shared" si="1"/>
        <v>Sat</v>
      </c>
      <c r="I4" s="4" t="str">
        <f t="shared" si="1"/>
        <v>Sun</v>
      </c>
      <c r="J4" s="4" t="str">
        <f t="shared" si="1"/>
        <v>Mon</v>
      </c>
      <c r="K4" s="4" t="str">
        <f t="shared" si="1"/>
        <v>Tue</v>
      </c>
      <c r="L4" s="4" t="str">
        <f t="shared" si="1"/>
        <v>Wed</v>
      </c>
      <c r="M4" s="4" t="str">
        <f t="shared" si="1"/>
        <v>Thu</v>
      </c>
      <c r="N4" s="4" t="str">
        <f t="shared" si="1"/>
        <v>Fri</v>
      </c>
      <c r="O4" s="4" t="str">
        <f t="shared" si="1"/>
        <v>Sat</v>
      </c>
      <c r="P4" s="4" t="str">
        <f t="shared" si="1"/>
        <v>Sun</v>
      </c>
      <c r="Q4" s="4" t="str">
        <f t="shared" si="1"/>
        <v>Mon</v>
      </c>
      <c r="R4" s="4" t="str">
        <f t="shared" si="1"/>
        <v>Tue</v>
      </c>
      <c r="S4" s="4" t="str">
        <f t="shared" si="1"/>
        <v>Wed</v>
      </c>
      <c r="T4" s="4" t="str">
        <f t="shared" si="1"/>
        <v>Thu</v>
      </c>
      <c r="U4" s="4" t="str">
        <f t="shared" si="1"/>
        <v>Fri</v>
      </c>
      <c r="V4" s="4" t="str">
        <f t="shared" si="1"/>
        <v>Sat</v>
      </c>
      <c r="W4" s="4" t="str">
        <f t="shared" si="1"/>
        <v>Sun</v>
      </c>
      <c r="X4" s="4" t="str">
        <f t="shared" si="1"/>
        <v>Mon</v>
      </c>
      <c r="Y4" s="4" t="str">
        <f t="shared" si="1"/>
        <v>Tue</v>
      </c>
      <c r="Z4" s="4" t="str">
        <f t="shared" si="1"/>
        <v>Wed</v>
      </c>
      <c r="AA4" s="4" t="str">
        <f t="shared" si="1"/>
        <v>Thu</v>
      </c>
      <c r="AB4" s="4" t="str">
        <f t="shared" si="1"/>
        <v>Fri</v>
      </c>
      <c r="AC4" s="4" t="str">
        <f t="shared" si="1"/>
        <v>Sat</v>
      </c>
      <c r="AD4" s="4" t="str">
        <f t="shared" si="1"/>
        <v>Sun</v>
      </c>
      <c r="AE4" s="4" t="str">
        <f t="shared" si="1"/>
        <v>Mon</v>
      </c>
      <c r="AF4" s="4" t="str">
        <f t="shared" si="1"/>
        <v>Tue</v>
      </c>
      <c r="AG4" s="4" t="str">
        <f t="shared" si="1"/>
        <v>Wed</v>
      </c>
      <c r="AH4" s="4" t="s">
        <v>40</v>
      </c>
      <c r="AI4" s="4" t="s">
        <v>41</v>
      </c>
    </row>
    <row r="5" spans="1:35" x14ac:dyDescent="0.25">
      <c r="A5" s="4" t="s">
        <v>28</v>
      </c>
      <c r="B5" s="4" t="s">
        <v>29</v>
      </c>
      <c r="C5" s="8">
        <f>D2</f>
        <v>44256</v>
      </c>
      <c r="D5" s="5">
        <f>IF(C5&lt;$I$2,C5+1,"")</f>
        <v>44257</v>
      </c>
      <c r="E5" s="5">
        <f t="shared" ref="E5:AG5" si="2">IF(D5&lt;$I$2,D5+1,"")</f>
        <v>44258</v>
      </c>
      <c r="F5" s="5">
        <f t="shared" si="2"/>
        <v>44259</v>
      </c>
      <c r="G5" s="5">
        <f t="shared" si="2"/>
        <v>44260</v>
      </c>
      <c r="H5" s="5">
        <f t="shared" si="2"/>
        <v>44261</v>
      </c>
      <c r="I5" s="5">
        <f t="shared" si="2"/>
        <v>44262</v>
      </c>
      <c r="J5" s="5">
        <f t="shared" si="2"/>
        <v>44263</v>
      </c>
      <c r="K5" s="5">
        <f t="shared" si="2"/>
        <v>44264</v>
      </c>
      <c r="L5" s="5">
        <f t="shared" si="2"/>
        <v>44265</v>
      </c>
      <c r="M5" s="5">
        <f t="shared" si="2"/>
        <v>44266</v>
      </c>
      <c r="N5" s="5">
        <f t="shared" si="2"/>
        <v>44267</v>
      </c>
      <c r="O5" s="5">
        <f t="shared" si="2"/>
        <v>44268</v>
      </c>
      <c r="P5" s="5">
        <f t="shared" si="2"/>
        <v>44269</v>
      </c>
      <c r="Q5" s="5">
        <f t="shared" si="2"/>
        <v>44270</v>
      </c>
      <c r="R5" s="5">
        <f t="shared" si="2"/>
        <v>44271</v>
      </c>
      <c r="S5" s="5">
        <f t="shared" si="2"/>
        <v>44272</v>
      </c>
      <c r="T5" s="5">
        <f t="shared" si="2"/>
        <v>44273</v>
      </c>
      <c r="U5" s="5">
        <f t="shared" si="2"/>
        <v>44274</v>
      </c>
      <c r="V5" s="5">
        <f t="shared" si="2"/>
        <v>44275</v>
      </c>
      <c r="W5" s="5">
        <f t="shared" si="2"/>
        <v>44276</v>
      </c>
      <c r="X5" s="5">
        <f t="shared" si="2"/>
        <v>44277</v>
      </c>
      <c r="Y5" s="5">
        <f t="shared" si="2"/>
        <v>44278</v>
      </c>
      <c r="Z5" s="5">
        <f t="shared" si="2"/>
        <v>44279</v>
      </c>
      <c r="AA5" s="5">
        <f t="shared" si="2"/>
        <v>44280</v>
      </c>
      <c r="AB5" s="5">
        <f t="shared" si="2"/>
        <v>44281</v>
      </c>
      <c r="AC5" s="5">
        <f t="shared" si="2"/>
        <v>44282</v>
      </c>
      <c r="AD5" s="5">
        <f t="shared" si="2"/>
        <v>44283</v>
      </c>
      <c r="AE5" s="5">
        <f t="shared" si="2"/>
        <v>44284</v>
      </c>
      <c r="AF5" s="5">
        <f t="shared" si="2"/>
        <v>44285</v>
      </c>
      <c r="AG5" s="5">
        <f t="shared" si="2"/>
        <v>44286</v>
      </c>
      <c r="AH5" s="4"/>
      <c r="AI5" s="4"/>
    </row>
    <row r="6" spans="1:35" x14ac:dyDescent="0.25">
      <c r="A6" s="6" t="s">
        <v>30</v>
      </c>
      <c r="B6" s="6" t="s">
        <v>34</v>
      </c>
      <c r="C6" s="6" t="s">
        <v>42</v>
      </c>
      <c r="D6" s="6" t="s">
        <v>42</v>
      </c>
      <c r="E6" s="6" t="s">
        <v>42</v>
      </c>
      <c r="F6" s="6" t="s">
        <v>42</v>
      </c>
      <c r="G6" s="6" t="s">
        <v>42</v>
      </c>
      <c r="H6" s="6" t="s">
        <v>42</v>
      </c>
      <c r="I6" s="6" t="s">
        <v>42</v>
      </c>
      <c r="J6" s="6" t="s">
        <v>42</v>
      </c>
      <c r="K6" s="6"/>
      <c r="L6" s="6" t="s">
        <v>44</v>
      </c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>
        <f>COUNTIFS(C6:AG6,"P",$C$4:$AG$4,"&lt;&gt;SUN",$C$3:$AG$3,0)</f>
        <v>7</v>
      </c>
      <c r="AI6" s="6">
        <f>COUNTIFS(C6:AG6,"A",$C$4:$AG$4,"&lt;&gt;SUN",$C$3:$AG$3,0)</f>
        <v>1</v>
      </c>
    </row>
    <row r="7" spans="1:35" x14ac:dyDescent="0.25">
      <c r="A7" s="6" t="s">
        <v>31</v>
      </c>
      <c r="B7" s="6" t="s">
        <v>35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>
        <f t="shared" ref="AH7:AH10" si="3">COUNTIFS(C7:AG7,"P",$C$4:$AG$4,"&lt;&gt;SUN",$C$3:$AG$3,0)</f>
        <v>0</v>
      </c>
      <c r="AI7" s="6">
        <f t="shared" ref="AI7:AI10" si="4">COUNTIFS(C7:AG7,"A",$C$4:$AG$4,"&lt;&gt;SUN",$C$3:$AG$3,0)</f>
        <v>0</v>
      </c>
    </row>
    <row r="8" spans="1:35" x14ac:dyDescent="0.25">
      <c r="A8" s="6" t="s">
        <v>32</v>
      </c>
      <c r="B8" s="6" t="s">
        <v>36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>
        <f t="shared" si="3"/>
        <v>0</v>
      </c>
      <c r="AI8" s="6">
        <f t="shared" si="4"/>
        <v>0</v>
      </c>
    </row>
    <row r="9" spans="1:35" x14ac:dyDescent="0.25">
      <c r="A9" s="6" t="s">
        <v>33</v>
      </c>
      <c r="B9" s="6" t="s">
        <v>37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>
        <f t="shared" si="3"/>
        <v>0</v>
      </c>
      <c r="AI9" s="6">
        <f t="shared" si="4"/>
        <v>0</v>
      </c>
    </row>
    <row r="10" spans="1:35" x14ac:dyDescent="0.25">
      <c r="A10" s="6" t="s">
        <v>38</v>
      </c>
      <c r="B10" s="6" t="s">
        <v>39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>
        <f t="shared" si="3"/>
        <v>0</v>
      </c>
      <c r="AI10" s="6">
        <f t="shared" si="4"/>
        <v>0</v>
      </c>
    </row>
    <row r="11" spans="1:35" x14ac:dyDescent="0.25">
      <c r="A11" s="9"/>
      <c r="B11" s="9"/>
    </row>
  </sheetData>
  <mergeCells count="5">
    <mergeCell ref="R1:T1"/>
    <mergeCell ref="D2:F2"/>
    <mergeCell ref="I2:K2"/>
    <mergeCell ref="A1:L1"/>
    <mergeCell ref="M1:Q1"/>
  </mergeCells>
  <conditionalFormatting sqref="C4:AG5">
    <cfRule type="expression" dxfId="11" priority="3">
      <formula>OR(C$4="sun")</formula>
    </cfRule>
    <cfRule type="expression" dxfId="10" priority="4">
      <formula>COUNTIF(Holidays,C$5)</formula>
    </cfRule>
  </conditionalFormatting>
  <conditionalFormatting sqref="C6:AG10">
    <cfRule type="expression" dxfId="9" priority="1">
      <formula>OR(C$4="sun")</formula>
    </cfRule>
    <cfRule type="expression" dxfId="8" priority="2">
      <formula>COUNTIF(Holidays,C$5)</formula>
    </cfRule>
  </conditionalFormatting>
  <dataValidations count="3">
    <dataValidation type="list" allowBlank="1" showInputMessage="1" showErrorMessage="1" sqref="M1:Q1" xr:uid="{F371809C-0B53-428B-BC65-7F3B6DA6DC68}">
      <formula1>Months</formula1>
    </dataValidation>
    <dataValidation type="custom" allowBlank="1" showInputMessage="1" showErrorMessage="1" sqref="C6:AD10 AF6:AG10 AE7:AE10" xr:uid="{EC6C6347-7EFC-499D-9B99-79C377FAA3AC}">
      <formula1>C$5&lt;&gt;""</formula1>
    </dataValidation>
    <dataValidation type="custom" allowBlank="1" showInputMessage="1" showErrorMessage="1" errorTitle="WARNING" error="ENTRY IS NOT ALLOWED" sqref="AE6" xr:uid="{C3CADF33-DE04-4949-ACBA-A27BCDB5A4D8}">
      <formula1>AE$5&lt;&gt;""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4852D-D50D-4EE1-8A17-0582155B16A9}">
  <sheetPr codeName="Sheet3"/>
  <dimension ref="A1:AI11"/>
  <sheetViews>
    <sheetView zoomScale="86" zoomScaleNormal="86" workbookViewId="0">
      <selection activeCell="H6" sqref="H6"/>
    </sheetView>
  </sheetViews>
  <sheetFormatPr defaultRowHeight="15" x14ac:dyDescent="0.25"/>
  <cols>
    <col min="1" max="1" width="14.42578125" customWidth="1"/>
    <col min="2" max="2" width="19.7109375" customWidth="1"/>
    <col min="3" max="3" width="9.42578125" customWidth="1"/>
    <col min="4" max="4" width="4.85546875" customWidth="1"/>
    <col min="5" max="5" width="4.5703125" customWidth="1"/>
    <col min="6" max="6" width="3.7109375" customWidth="1"/>
    <col min="7" max="7" width="3.85546875" customWidth="1"/>
    <col min="8" max="8" width="8.42578125" customWidth="1"/>
    <col min="9" max="9" width="3.7109375" customWidth="1"/>
    <col min="10" max="10" width="4.28515625" customWidth="1"/>
    <col min="11" max="11" width="3.7109375" customWidth="1"/>
    <col min="12" max="12" width="5" customWidth="1"/>
    <col min="13" max="13" width="3.85546875" customWidth="1"/>
    <col min="14" max="15" width="4" customWidth="1"/>
    <col min="16" max="16" width="3.7109375" customWidth="1"/>
    <col min="17" max="17" width="4.42578125" customWidth="1"/>
    <col min="18" max="18" width="3.85546875" customWidth="1"/>
    <col min="19" max="19" width="4.42578125" customWidth="1"/>
    <col min="20" max="20" width="3.85546875" customWidth="1"/>
    <col min="21" max="21" width="3.7109375" customWidth="1"/>
    <col min="22" max="22" width="3.5703125" customWidth="1"/>
    <col min="23" max="23" width="4" customWidth="1"/>
    <col min="24" max="24" width="4.42578125" customWidth="1"/>
    <col min="25" max="25" width="4.28515625" customWidth="1"/>
    <col min="26" max="26" width="4.85546875" customWidth="1"/>
    <col min="27" max="27" width="3.85546875" customWidth="1"/>
    <col min="28" max="29" width="3.5703125" customWidth="1"/>
    <col min="30" max="30" width="4.28515625" customWidth="1"/>
    <col min="31" max="31" width="4" customWidth="1"/>
    <col min="32" max="32" width="4.28515625" customWidth="1"/>
    <col min="33" max="33" width="4.42578125" customWidth="1"/>
    <col min="34" max="34" width="11.140625" customWidth="1"/>
    <col min="35" max="35" width="11.7109375" customWidth="1"/>
    <col min="36" max="36" width="12.5703125" customWidth="1"/>
  </cols>
  <sheetData>
    <row r="1" spans="1:35" ht="15.75" x14ac:dyDescent="0.25">
      <c r="A1" s="12" t="s">
        <v>45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 t="s">
        <v>1</v>
      </c>
      <c r="N1" s="13"/>
      <c r="O1" s="13"/>
      <c r="P1" s="13"/>
      <c r="Q1" s="13"/>
      <c r="R1" s="10">
        <f>D2</f>
        <v>44197</v>
      </c>
      <c r="S1" s="10"/>
      <c r="T1" s="10"/>
    </row>
    <row r="2" spans="1:35" x14ac:dyDescent="0.25">
      <c r="C2" t="s">
        <v>26</v>
      </c>
      <c r="D2" s="11">
        <f>DATEVALUE("1"&amp;M1)</f>
        <v>44197</v>
      </c>
      <c r="E2" s="11"/>
      <c r="F2" s="11"/>
      <c r="H2" t="s">
        <v>27</v>
      </c>
      <c r="I2" s="11">
        <f>EOMONTH(D2,0)</f>
        <v>44227</v>
      </c>
      <c r="J2" s="11"/>
      <c r="K2" s="11"/>
    </row>
    <row r="3" spans="1:35" x14ac:dyDescent="0.25">
      <c r="C3">
        <f t="shared" ref="C3:AG3" si="0">IFERROR(IF(C5="",1,MATCH(C5,Holidays,0)),0)</f>
        <v>1</v>
      </c>
      <c r="D3">
        <f t="shared" si="0"/>
        <v>0</v>
      </c>
      <c r="E3">
        <f t="shared" si="0"/>
        <v>0</v>
      </c>
      <c r="F3">
        <f t="shared" si="0"/>
        <v>0</v>
      </c>
      <c r="G3">
        <f t="shared" si="0"/>
        <v>0</v>
      </c>
      <c r="H3">
        <f t="shared" si="0"/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2</v>
      </c>
      <c r="P3">
        <f t="shared" si="0"/>
        <v>3</v>
      </c>
      <c r="Q3">
        <f t="shared" si="0"/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0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</row>
    <row r="4" spans="1:35" x14ac:dyDescent="0.25">
      <c r="A4" s="4"/>
      <c r="B4" s="4"/>
      <c r="C4" s="7" t="str">
        <f>TEXT(C5,"ddd")</f>
        <v>Fri</v>
      </c>
      <c r="D4" s="4" t="str">
        <f t="shared" ref="D4:AG4" si="1">TEXT(D5,"ddd")</f>
        <v>Sat</v>
      </c>
      <c r="E4" s="4" t="str">
        <f t="shared" si="1"/>
        <v>Sun</v>
      </c>
      <c r="F4" s="4" t="str">
        <f t="shared" si="1"/>
        <v>Mon</v>
      </c>
      <c r="G4" s="4" t="str">
        <f t="shared" si="1"/>
        <v>Tue</v>
      </c>
      <c r="H4" s="4" t="str">
        <f t="shared" si="1"/>
        <v>Wed</v>
      </c>
      <c r="I4" s="4" t="str">
        <f t="shared" si="1"/>
        <v>Thu</v>
      </c>
      <c r="J4" s="4" t="str">
        <f t="shared" si="1"/>
        <v>Fri</v>
      </c>
      <c r="K4" s="4" t="str">
        <f t="shared" si="1"/>
        <v>Sat</v>
      </c>
      <c r="L4" s="4" t="str">
        <f t="shared" si="1"/>
        <v>Sun</v>
      </c>
      <c r="M4" s="4" t="str">
        <f t="shared" si="1"/>
        <v>Mon</v>
      </c>
      <c r="N4" s="4" t="str">
        <f t="shared" si="1"/>
        <v>Tue</v>
      </c>
      <c r="O4" s="4" t="str">
        <f t="shared" si="1"/>
        <v>Wed</v>
      </c>
      <c r="P4" s="4" t="str">
        <f t="shared" si="1"/>
        <v>Thu</v>
      </c>
      <c r="Q4" s="4" t="str">
        <f t="shared" si="1"/>
        <v>Fri</v>
      </c>
      <c r="R4" s="4" t="str">
        <f t="shared" si="1"/>
        <v>Sat</v>
      </c>
      <c r="S4" s="4" t="str">
        <f t="shared" si="1"/>
        <v>Sun</v>
      </c>
      <c r="T4" s="4" t="str">
        <f t="shared" si="1"/>
        <v>Mon</v>
      </c>
      <c r="U4" s="4" t="str">
        <f t="shared" si="1"/>
        <v>Tue</v>
      </c>
      <c r="V4" s="4" t="str">
        <f t="shared" si="1"/>
        <v>Wed</v>
      </c>
      <c r="W4" s="4" t="str">
        <f t="shared" si="1"/>
        <v>Thu</v>
      </c>
      <c r="X4" s="4" t="str">
        <f t="shared" si="1"/>
        <v>Fri</v>
      </c>
      <c r="Y4" s="4" t="str">
        <f t="shared" si="1"/>
        <v>Sat</v>
      </c>
      <c r="Z4" s="4" t="str">
        <f t="shared" si="1"/>
        <v>Sun</v>
      </c>
      <c r="AA4" s="4" t="str">
        <f t="shared" si="1"/>
        <v>Mon</v>
      </c>
      <c r="AB4" s="4" t="str">
        <f t="shared" si="1"/>
        <v>Tue</v>
      </c>
      <c r="AC4" s="4" t="str">
        <f t="shared" si="1"/>
        <v>Wed</v>
      </c>
      <c r="AD4" s="4" t="str">
        <f t="shared" si="1"/>
        <v>Thu</v>
      </c>
      <c r="AE4" s="4" t="str">
        <f t="shared" si="1"/>
        <v>Fri</v>
      </c>
      <c r="AF4" s="4" t="str">
        <f t="shared" si="1"/>
        <v>Sat</v>
      </c>
      <c r="AG4" s="4" t="str">
        <f t="shared" si="1"/>
        <v>Sun</v>
      </c>
      <c r="AH4" s="4" t="s">
        <v>40</v>
      </c>
      <c r="AI4" s="4" t="s">
        <v>41</v>
      </c>
    </row>
    <row r="5" spans="1:35" x14ac:dyDescent="0.25">
      <c r="A5" s="4" t="s">
        <v>28</v>
      </c>
      <c r="B5" s="4" t="s">
        <v>29</v>
      </c>
      <c r="C5" s="8">
        <f>D2</f>
        <v>44197</v>
      </c>
      <c r="D5" s="5">
        <f>IF(C5&lt;$I$2,C5+1,"")</f>
        <v>44198</v>
      </c>
      <c r="E5" s="5">
        <f t="shared" ref="E5:AG5" si="2">IF(D5&lt;$I$2,D5+1,"")</f>
        <v>44199</v>
      </c>
      <c r="F5" s="5">
        <f t="shared" si="2"/>
        <v>44200</v>
      </c>
      <c r="G5" s="5">
        <f t="shared" si="2"/>
        <v>44201</v>
      </c>
      <c r="H5" s="5">
        <f t="shared" si="2"/>
        <v>44202</v>
      </c>
      <c r="I5" s="5">
        <f t="shared" si="2"/>
        <v>44203</v>
      </c>
      <c r="J5" s="5">
        <f t="shared" si="2"/>
        <v>44204</v>
      </c>
      <c r="K5" s="5">
        <f t="shared" si="2"/>
        <v>44205</v>
      </c>
      <c r="L5" s="5">
        <f t="shared" si="2"/>
        <v>44206</v>
      </c>
      <c r="M5" s="5">
        <f t="shared" si="2"/>
        <v>44207</v>
      </c>
      <c r="N5" s="5">
        <f t="shared" si="2"/>
        <v>44208</v>
      </c>
      <c r="O5" s="5">
        <f t="shared" si="2"/>
        <v>44209</v>
      </c>
      <c r="P5" s="5">
        <f t="shared" si="2"/>
        <v>44210</v>
      </c>
      <c r="Q5" s="5">
        <f t="shared" si="2"/>
        <v>44211</v>
      </c>
      <c r="R5" s="5">
        <f t="shared" si="2"/>
        <v>44212</v>
      </c>
      <c r="S5" s="5">
        <f t="shared" si="2"/>
        <v>44213</v>
      </c>
      <c r="T5" s="5">
        <f t="shared" si="2"/>
        <v>44214</v>
      </c>
      <c r="U5" s="5">
        <f t="shared" si="2"/>
        <v>44215</v>
      </c>
      <c r="V5" s="5">
        <f t="shared" si="2"/>
        <v>44216</v>
      </c>
      <c r="W5" s="5">
        <f t="shared" si="2"/>
        <v>44217</v>
      </c>
      <c r="X5" s="5">
        <f t="shared" si="2"/>
        <v>44218</v>
      </c>
      <c r="Y5" s="5">
        <f t="shared" si="2"/>
        <v>44219</v>
      </c>
      <c r="Z5" s="5">
        <f t="shared" si="2"/>
        <v>44220</v>
      </c>
      <c r="AA5" s="5">
        <f t="shared" si="2"/>
        <v>44221</v>
      </c>
      <c r="AB5" s="5">
        <f t="shared" si="2"/>
        <v>44222</v>
      </c>
      <c r="AC5" s="5">
        <f t="shared" si="2"/>
        <v>44223</v>
      </c>
      <c r="AD5" s="5">
        <f t="shared" si="2"/>
        <v>44224</v>
      </c>
      <c r="AE5" s="5">
        <f t="shared" si="2"/>
        <v>44225</v>
      </c>
      <c r="AF5" s="5">
        <f t="shared" si="2"/>
        <v>44226</v>
      </c>
      <c r="AG5" s="5">
        <f t="shared" si="2"/>
        <v>44227</v>
      </c>
      <c r="AH5" s="4"/>
      <c r="AI5" s="4"/>
    </row>
    <row r="6" spans="1:35" x14ac:dyDescent="0.25">
      <c r="A6" s="6" t="s">
        <v>30</v>
      </c>
      <c r="B6" s="6" t="s">
        <v>34</v>
      </c>
      <c r="C6" s="6" t="s">
        <v>43</v>
      </c>
      <c r="D6" s="6" t="s">
        <v>42</v>
      </c>
      <c r="E6" s="6" t="s">
        <v>42</v>
      </c>
      <c r="F6" s="6" t="s">
        <v>42</v>
      </c>
      <c r="G6" s="6" t="s">
        <v>42</v>
      </c>
      <c r="H6" s="6" t="s">
        <v>42</v>
      </c>
      <c r="I6" s="6" t="s">
        <v>42</v>
      </c>
      <c r="J6" s="6" t="s">
        <v>42</v>
      </c>
      <c r="K6" s="6" t="s">
        <v>42</v>
      </c>
      <c r="L6" s="6" t="s">
        <v>42</v>
      </c>
      <c r="M6" s="6" t="s">
        <v>42</v>
      </c>
      <c r="N6" s="6" t="s">
        <v>42</v>
      </c>
      <c r="O6" s="6" t="s">
        <v>42</v>
      </c>
      <c r="P6" s="6" t="s">
        <v>42</v>
      </c>
      <c r="Q6" s="6" t="s">
        <v>44</v>
      </c>
      <c r="R6" s="6" t="s">
        <v>42</v>
      </c>
      <c r="S6" s="6" t="s">
        <v>42</v>
      </c>
      <c r="T6" s="6" t="s">
        <v>42</v>
      </c>
      <c r="U6" s="6" t="s">
        <v>42</v>
      </c>
      <c r="V6" s="6" t="s">
        <v>42</v>
      </c>
      <c r="W6" s="6" t="s">
        <v>42</v>
      </c>
      <c r="X6" s="6" t="s">
        <v>44</v>
      </c>
      <c r="Y6" s="6" t="s">
        <v>42</v>
      </c>
      <c r="Z6" s="6"/>
      <c r="AA6" s="6" t="s">
        <v>42</v>
      </c>
      <c r="AB6" s="6" t="s">
        <v>44</v>
      </c>
      <c r="AC6" s="6" t="s">
        <v>42</v>
      </c>
      <c r="AD6" s="6" t="s">
        <v>42</v>
      </c>
      <c r="AE6" s="6" t="s">
        <v>44</v>
      </c>
      <c r="AF6" s="6" t="s">
        <v>42</v>
      </c>
      <c r="AG6" s="6" t="s">
        <v>42</v>
      </c>
      <c r="AH6" s="6">
        <f>COUNTIFS(C6:AG6,"P",$C$4:$AG$4,"&lt;&gt;SUN",$C$3:$AG$3,0)</f>
        <v>19</v>
      </c>
      <c r="AI6" s="6">
        <f>COUNTIFS(C6:AG6,"A",$C$4:$AG$4,"&lt;&gt;SUN",$C$3:$AG$3,0)</f>
        <v>4</v>
      </c>
    </row>
    <row r="7" spans="1:35" x14ac:dyDescent="0.25">
      <c r="A7" s="6" t="s">
        <v>31</v>
      </c>
      <c r="B7" s="6" t="s">
        <v>35</v>
      </c>
      <c r="C7" s="6"/>
      <c r="D7" s="6" t="s">
        <v>42</v>
      </c>
      <c r="E7" s="6"/>
      <c r="F7" s="6" t="s">
        <v>42</v>
      </c>
      <c r="G7" s="6" t="s">
        <v>42</v>
      </c>
      <c r="H7" s="6" t="s">
        <v>42</v>
      </c>
      <c r="I7" s="6" t="s">
        <v>42</v>
      </c>
      <c r="J7" s="6" t="s">
        <v>42</v>
      </c>
      <c r="K7" s="6" t="s">
        <v>42</v>
      </c>
      <c r="L7" s="6"/>
      <c r="M7" s="6" t="s">
        <v>42</v>
      </c>
      <c r="N7" s="6" t="s">
        <v>42</v>
      </c>
      <c r="O7" s="6"/>
      <c r="P7" s="6"/>
      <c r="Q7" s="6" t="s">
        <v>42</v>
      </c>
      <c r="R7" s="6" t="s">
        <v>42</v>
      </c>
      <c r="S7" s="6"/>
      <c r="T7" s="6" t="s">
        <v>42</v>
      </c>
      <c r="U7" s="6" t="s">
        <v>42</v>
      </c>
      <c r="V7" s="6" t="s">
        <v>42</v>
      </c>
      <c r="W7" s="6" t="s">
        <v>42</v>
      </c>
      <c r="X7" s="6" t="s">
        <v>42</v>
      </c>
      <c r="Y7" s="6" t="s">
        <v>42</v>
      </c>
      <c r="Z7" s="6"/>
      <c r="AA7" s="6" t="s">
        <v>44</v>
      </c>
      <c r="AB7" s="6" t="s">
        <v>44</v>
      </c>
      <c r="AC7" s="6" t="s">
        <v>44</v>
      </c>
      <c r="AD7" s="6" t="s">
        <v>42</v>
      </c>
      <c r="AE7" s="6" t="s">
        <v>42</v>
      </c>
      <c r="AF7" s="6" t="s">
        <v>42</v>
      </c>
      <c r="AG7" s="6"/>
      <c r="AH7" s="6">
        <f t="shared" ref="AH7:AH10" si="3">COUNTIFS(C7:AG7,"P",$C$4:$AG$4,"&lt;&gt;SUN",$C$3:$AG$3,0)</f>
        <v>20</v>
      </c>
      <c r="AI7" s="6">
        <f t="shared" ref="AI7:AI10" si="4">COUNTIFS(C7:AG7,"A",$C$4:$AG$4,"&lt;&gt;SUN",$C$3:$AG$3,0)</f>
        <v>3</v>
      </c>
    </row>
    <row r="8" spans="1:35" x14ac:dyDescent="0.25">
      <c r="A8" s="6" t="s">
        <v>32</v>
      </c>
      <c r="B8" s="6" t="s">
        <v>36</v>
      </c>
      <c r="C8" s="6"/>
      <c r="D8" s="6" t="s">
        <v>42</v>
      </c>
      <c r="E8" s="6"/>
      <c r="F8" s="6" t="s">
        <v>44</v>
      </c>
      <c r="G8" s="6" t="s">
        <v>42</v>
      </c>
      <c r="H8" s="6" t="s">
        <v>42</v>
      </c>
      <c r="I8" s="6" t="s">
        <v>42</v>
      </c>
      <c r="J8" s="6" t="s">
        <v>42</v>
      </c>
      <c r="K8" s="6" t="s">
        <v>42</v>
      </c>
      <c r="L8" s="6"/>
      <c r="M8" s="6" t="s">
        <v>42</v>
      </c>
      <c r="N8" s="6" t="s">
        <v>42</v>
      </c>
      <c r="O8" s="6"/>
      <c r="P8" s="6"/>
      <c r="Q8" s="6" t="s">
        <v>42</v>
      </c>
      <c r="R8" s="6" t="s">
        <v>42</v>
      </c>
      <c r="S8" s="6"/>
      <c r="T8" s="6" t="s">
        <v>42</v>
      </c>
      <c r="U8" s="6" t="s">
        <v>42</v>
      </c>
      <c r="V8" s="6" t="s">
        <v>42</v>
      </c>
      <c r="W8" s="6" t="s">
        <v>42</v>
      </c>
      <c r="X8" s="6" t="s">
        <v>42</v>
      </c>
      <c r="Y8" s="6" t="s">
        <v>42</v>
      </c>
      <c r="Z8" s="6"/>
      <c r="AA8" s="6" t="s">
        <v>42</v>
      </c>
      <c r="AB8" s="6" t="s">
        <v>42</v>
      </c>
      <c r="AC8" s="6" t="s">
        <v>42</v>
      </c>
      <c r="AD8" s="6" t="s">
        <v>42</v>
      </c>
      <c r="AE8" s="6" t="s">
        <v>42</v>
      </c>
      <c r="AF8" s="6" t="s">
        <v>42</v>
      </c>
      <c r="AG8" s="6"/>
      <c r="AH8" s="6">
        <f t="shared" si="3"/>
        <v>22</v>
      </c>
      <c r="AI8" s="6">
        <f t="shared" si="4"/>
        <v>1</v>
      </c>
    </row>
    <row r="9" spans="1:35" x14ac:dyDescent="0.25">
      <c r="A9" s="6" t="s">
        <v>33</v>
      </c>
      <c r="B9" s="6" t="s">
        <v>37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>
        <f t="shared" si="3"/>
        <v>0</v>
      </c>
      <c r="AI9" s="6">
        <f t="shared" si="4"/>
        <v>0</v>
      </c>
    </row>
    <row r="10" spans="1:35" x14ac:dyDescent="0.25">
      <c r="A10" s="6" t="s">
        <v>38</v>
      </c>
      <c r="B10" s="6" t="s">
        <v>39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>
        <f t="shared" si="3"/>
        <v>0</v>
      </c>
      <c r="AI10" s="6">
        <f t="shared" si="4"/>
        <v>0</v>
      </c>
    </row>
    <row r="11" spans="1:35" x14ac:dyDescent="0.25">
      <c r="A11" s="9"/>
      <c r="B11" s="9"/>
    </row>
  </sheetData>
  <mergeCells count="5">
    <mergeCell ref="A1:L1"/>
    <mergeCell ref="M1:Q1"/>
    <mergeCell ref="R1:T1"/>
    <mergeCell ref="D2:F2"/>
    <mergeCell ref="I2:K2"/>
  </mergeCells>
  <conditionalFormatting sqref="C4:AG5">
    <cfRule type="expression" dxfId="7" priority="3">
      <formula>OR(C$4="sun")</formula>
    </cfRule>
    <cfRule type="expression" dxfId="6" priority="4">
      <formula>COUNTIF(Holidays,C$5)</formula>
    </cfRule>
  </conditionalFormatting>
  <conditionalFormatting sqref="C6:AG10">
    <cfRule type="expression" dxfId="5" priority="1">
      <formula>OR(C$4="sun")</formula>
    </cfRule>
    <cfRule type="expression" dxfId="4" priority="2">
      <formula>COUNTIF(Holidays,C$5)</formula>
    </cfRule>
  </conditionalFormatting>
  <dataValidations count="3">
    <dataValidation type="custom" allowBlank="1" showInputMessage="1" showErrorMessage="1" errorTitle="WARNING" error="ENTRY IS NOT ALLOWED" sqref="AE6" xr:uid="{2E054902-C13E-4220-BB9D-5B04FF1B6A3B}">
      <formula1>AE$5&lt;&gt;""</formula1>
    </dataValidation>
    <dataValidation type="custom" allowBlank="1" showInputMessage="1" showErrorMessage="1" sqref="C6:AD10 AF6:AG10 AE7:AE10" xr:uid="{B90ED09C-BD88-4B2D-AC89-F4672A6D0813}">
      <formula1>C$5&lt;&gt;""</formula1>
    </dataValidation>
    <dataValidation type="list" allowBlank="1" showInputMessage="1" showErrorMessage="1" sqref="M1:Q1" xr:uid="{FD3FDEB0-E231-4F91-AD53-EAD143427AAA}">
      <formula1>Months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BBA0-7E0A-4372-90BE-BBBD2D9DA754}">
  <sheetPr codeName="Sheet4"/>
  <dimension ref="A1:AI11"/>
  <sheetViews>
    <sheetView tabSelected="1" zoomScale="86" zoomScaleNormal="86" workbookViewId="0">
      <selection activeCell="M1" sqref="M1:Q1"/>
    </sheetView>
  </sheetViews>
  <sheetFormatPr defaultRowHeight="15" x14ac:dyDescent="0.25"/>
  <cols>
    <col min="1" max="1" width="14.42578125" customWidth="1"/>
    <col min="2" max="2" width="19.7109375" customWidth="1"/>
    <col min="3" max="3" width="9.42578125" customWidth="1"/>
    <col min="4" max="4" width="4.85546875" customWidth="1"/>
    <col min="5" max="5" width="4.5703125" customWidth="1"/>
    <col min="6" max="6" width="3.7109375" customWidth="1"/>
    <col min="7" max="7" width="3.85546875" customWidth="1"/>
    <col min="8" max="8" width="8.42578125" customWidth="1"/>
    <col min="9" max="9" width="3.7109375" customWidth="1"/>
    <col min="10" max="10" width="4.28515625" customWidth="1"/>
    <col min="11" max="11" width="3.7109375" customWidth="1"/>
    <col min="12" max="12" width="5" customWidth="1"/>
    <col min="13" max="13" width="3.85546875" customWidth="1"/>
    <col min="14" max="15" width="4" customWidth="1"/>
    <col min="16" max="16" width="3.7109375" customWidth="1"/>
    <col min="17" max="17" width="4.42578125" customWidth="1"/>
    <col min="18" max="18" width="3.85546875" customWidth="1"/>
    <col min="19" max="19" width="4.42578125" customWidth="1"/>
    <col min="20" max="20" width="3.85546875" customWidth="1"/>
    <col min="21" max="21" width="3.7109375" customWidth="1"/>
    <col min="22" max="22" width="3.5703125" customWidth="1"/>
    <col min="23" max="23" width="4" customWidth="1"/>
    <col min="24" max="24" width="4.42578125" customWidth="1"/>
    <col min="25" max="25" width="4.28515625" customWidth="1"/>
    <col min="26" max="26" width="4.85546875" customWidth="1"/>
    <col min="27" max="27" width="3.85546875" customWidth="1"/>
    <col min="28" max="29" width="3.5703125" customWidth="1"/>
    <col min="30" max="30" width="4.28515625" customWidth="1"/>
    <col min="31" max="31" width="4" customWidth="1"/>
    <col min="32" max="32" width="4.28515625" customWidth="1"/>
    <col min="33" max="33" width="4.42578125" customWidth="1"/>
    <col min="34" max="34" width="11.140625" customWidth="1"/>
    <col min="35" max="35" width="11.7109375" customWidth="1"/>
    <col min="36" max="36" width="12.5703125" customWidth="1"/>
  </cols>
  <sheetData>
    <row r="1" spans="1:35" ht="15.75" x14ac:dyDescent="0.25">
      <c r="A1" s="12" t="s">
        <v>45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 t="s">
        <v>2</v>
      </c>
      <c r="N1" s="13"/>
      <c r="O1" s="13"/>
      <c r="P1" s="13"/>
      <c r="Q1" s="13"/>
      <c r="R1" s="10">
        <f>D2</f>
        <v>44228</v>
      </c>
      <c r="S1" s="10"/>
      <c r="T1" s="10"/>
    </row>
    <row r="2" spans="1:35" x14ac:dyDescent="0.25">
      <c r="C2" t="s">
        <v>26</v>
      </c>
      <c r="D2" s="11">
        <f>DATEVALUE("1"&amp;M1)</f>
        <v>44228</v>
      </c>
      <c r="E2" s="11"/>
      <c r="F2" s="11"/>
      <c r="H2" t="s">
        <v>27</v>
      </c>
      <c r="I2" s="11">
        <f>EOMONTH(D2,0)</f>
        <v>44255</v>
      </c>
      <c r="J2" s="11"/>
      <c r="K2" s="11"/>
    </row>
    <row r="3" spans="1:35" x14ac:dyDescent="0.25">
      <c r="C3">
        <f t="shared" ref="C3:AG3" si="0">IFERROR(IF(C5="",1,MATCH(C5,Holidays,0)),0)</f>
        <v>0</v>
      </c>
      <c r="D3">
        <f t="shared" si="0"/>
        <v>0</v>
      </c>
      <c r="E3">
        <f t="shared" si="0"/>
        <v>0</v>
      </c>
      <c r="F3">
        <f t="shared" si="0"/>
        <v>0</v>
      </c>
      <c r="G3">
        <f t="shared" si="0"/>
        <v>0</v>
      </c>
      <c r="H3">
        <f t="shared" si="0"/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0</v>
      </c>
      <c r="AB3">
        <f t="shared" si="0"/>
        <v>5</v>
      </c>
      <c r="AC3">
        <f t="shared" si="0"/>
        <v>0</v>
      </c>
      <c r="AD3">
        <f t="shared" si="0"/>
        <v>0</v>
      </c>
      <c r="AE3">
        <f t="shared" si="0"/>
        <v>1</v>
      </c>
      <c r="AF3">
        <f t="shared" si="0"/>
        <v>1</v>
      </c>
      <c r="AG3">
        <f t="shared" si="0"/>
        <v>1</v>
      </c>
    </row>
    <row r="4" spans="1:35" x14ac:dyDescent="0.25">
      <c r="A4" s="4"/>
      <c r="B4" s="4"/>
      <c r="C4" s="7" t="str">
        <f>TEXT(C5,"ddd")</f>
        <v>Mon</v>
      </c>
      <c r="D4" s="4" t="str">
        <f t="shared" ref="D4:AG4" si="1">TEXT(D5,"ddd")</f>
        <v>Tue</v>
      </c>
      <c r="E4" s="4" t="str">
        <f t="shared" si="1"/>
        <v>Wed</v>
      </c>
      <c r="F4" s="4" t="str">
        <f t="shared" si="1"/>
        <v>Thu</v>
      </c>
      <c r="G4" s="4" t="str">
        <f t="shared" si="1"/>
        <v>Fri</v>
      </c>
      <c r="H4" s="4" t="str">
        <f t="shared" si="1"/>
        <v>Sat</v>
      </c>
      <c r="I4" s="4" t="str">
        <f t="shared" si="1"/>
        <v>Sun</v>
      </c>
      <c r="J4" s="4" t="str">
        <f t="shared" si="1"/>
        <v>Mon</v>
      </c>
      <c r="K4" s="4" t="str">
        <f t="shared" si="1"/>
        <v>Tue</v>
      </c>
      <c r="L4" s="4" t="str">
        <f t="shared" si="1"/>
        <v>Wed</v>
      </c>
      <c r="M4" s="4" t="str">
        <f t="shared" si="1"/>
        <v>Thu</v>
      </c>
      <c r="N4" s="4" t="str">
        <f t="shared" si="1"/>
        <v>Fri</v>
      </c>
      <c r="O4" s="4" t="str">
        <f t="shared" si="1"/>
        <v>Sat</v>
      </c>
      <c r="P4" s="4" t="str">
        <f t="shared" si="1"/>
        <v>Sun</v>
      </c>
      <c r="Q4" s="4" t="str">
        <f t="shared" si="1"/>
        <v>Mon</v>
      </c>
      <c r="R4" s="4" t="str">
        <f t="shared" si="1"/>
        <v>Tue</v>
      </c>
      <c r="S4" s="4" t="str">
        <f t="shared" si="1"/>
        <v>Wed</v>
      </c>
      <c r="T4" s="4" t="str">
        <f t="shared" si="1"/>
        <v>Thu</v>
      </c>
      <c r="U4" s="4" t="str">
        <f t="shared" si="1"/>
        <v>Fri</v>
      </c>
      <c r="V4" s="4" t="str">
        <f t="shared" si="1"/>
        <v>Sat</v>
      </c>
      <c r="W4" s="4" t="str">
        <f t="shared" si="1"/>
        <v>Sun</v>
      </c>
      <c r="X4" s="4" t="str">
        <f t="shared" si="1"/>
        <v>Mon</v>
      </c>
      <c r="Y4" s="4" t="str">
        <f t="shared" si="1"/>
        <v>Tue</v>
      </c>
      <c r="Z4" s="4" t="str">
        <f t="shared" si="1"/>
        <v>Wed</v>
      </c>
      <c r="AA4" s="4" t="str">
        <f t="shared" si="1"/>
        <v>Thu</v>
      </c>
      <c r="AB4" s="4" t="str">
        <f t="shared" si="1"/>
        <v>Fri</v>
      </c>
      <c r="AC4" s="4" t="str">
        <f t="shared" si="1"/>
        <v>Sat</v>
      </c>
      <c r="AD4" s="4" t="str">
        <f t="shared" si="1"/>
        <v>Sun</v>
      </c>
      <c r="AE4" s="4" t="str">
        <f t="shared" si="1"/>
        <v/>
      </c>
      <c r="AF4" s="4" t="str">
        <f t="shared" si="1"/>
        <v/>
      </c>
      <c r="AG4" s="4" t="str">
        <f t="shared" si="1"/>
        <v/>
      </c>
      <c r="AH4" s="4" t="s">
        <v>40</v>
      </c>
      <c r="AI4" s="4" t="s">
        <v>41</v>
      </c>
    </row>
    <row r="5" spans="1:35" x14ac:dyDescent="0.25">
      <c r="A5" s="4" t="s">
        <v>28</v>
      </c>
      <c r="B5" s="4" t="s">
        <v>29</v>
      </c>
      <c r="C5" s="8">
        <f>D2</f>
        <v>44228</v>
      </c>
      <c r="D5" s="5">
        <f>IF(C5&lt;$I$2,C5+1,"")</f>
        <v>44229</v>
      </c>
      <c r="E5" s="5">
        <f t="shared" ref="E5:AG5" si="2">IF(D5&lt;$I$2,D5+1,"")</f>
        <v>44230</v>
      </c>
      <c r="F5" s="5">
        <f t="shared" si="2"/>
        <v>44231</v>
      </c>
      <c r="G5" s="5">
        <f t="shared" si="2"/>
        <v>44232</v>
      </c>
      <c r="H5" s="5">
        <f t="shared" si="2"/>
        <v>44233</v>
      </c>
      <c r="I5" s="5">
        <f t="shared" si="2"/>
        <v>44234</v>
      </c>
      <c r="J5" s="5">
        <f t="shared" si="2"/>
        <v>44235</v>
      </c>
      <c r="K5" s="5">
        <f t="shared" si="2"/>
        <v>44236</v>
      </c>
      <c r="L5" s="5">
        <f t="shared" si="2"/>
        <v>44237</v>
      </c>
      <c r="M5" s="5">
        <f t="shared" si="2"/>
        <v>44238</v>
      </c>
      <c r="N5" s="5">
        <f t="shared" si="2"/>
        <v>44239</v>
      </c>
      <c r="O5" s="5">
        <f t="shared" si="2"/>
        <v>44240</v>
      </c>
      <c r="P5" s="5">
        <f t="shared" si="2"/>
        <v>44241</v>
      </c>
      <c r="Q5" s="5">
        <f t="shared" si="2"/>
        <v>44242</v>
      </c>
      <c r="R5" s="5">
        <f t="shared" si="2"/>
        <v>44243</v>
      </c>
      <c r="S5" s="5">
        <f t="shared" si="2"/>
        <v>44244</v>
      </c>
      <c r="T5" s="5">
        <f t="shared" si="2"/>
        <v>44245</v>
      </c>
      <c r="U5" s="5">
        <f t="shared" si="2"/>
        <v>44246</v>
      </c>
      <c r="V5" s="5">
        <f t="shared" si="2"/>
        <v>44247</v>
      </c>
      <c r="W5" s="5">
        <f t="shared" si="2"/>
        <v>44248</v>
      </c>
      <c r="X5" s="5">
        <f t="shared" si="2"/>
        <v>44249</v>
      </c>
      <c r="Y5" s="5">
        <f t="shared" si="2"/>
        <v>44250</v>
      </c>
      <c r="Z5" s="5">
        <f t="shared" si="2"/>
        <v>44251</v>
      </c>
      <c r="AA5" s="5">
        <f t="shared" si="2"/>
        <v>44252</v>
      </c>
      <c r="AB5" s="5">
        <f t="shared" si="2"/>
        <v>44253</v>
      </c>
      <c r="AC5" s="5">
        <f t="shared" si="2"/>
        <v>44254</v>
      </c>
      <c r="AD5" s="5">
        <f t="shared" si="2"/>
        <v>44255</v>
      </c>
      <c r="AE5" s="5" t="str">
        <f t="shared" si="2"/>
        <v/>
      </c>
      <c r="AF5" s="5" t="str">
        <f t="shared" si="2"/>
        <v/>
      </c>
      <c r="AG5" s="5" t="str">
        <f t="shared" si="2"/>
        <v/>
      </c>
      <c r="AH5" s="4"/>
      <c r="AI5" s="4"/>
    </row>
    <row r="6" spans="1:35" x14ac:dyDescent="0.25">
      <c r="A6" s="6" t="s">
        <v>30</v>
      </c>
      <c r="B6" s="6" t="s">
        <v>34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>
        <f>COUNTIFS(C6:AG6,"P",$C$4:$AG$4,"&lt;&gt;SUN",$C$3:$AG$3,0)</f>
        <v>0</v>
      </c>
      <c r="AI6" s="6">
        <f>COUNTIFS(C6:AG6,"A",$C$4:$AG$4,"&lt;&gt;SUN",$C$3:$AG$3,0)</f>
        <v>0</v>
      </c>
    </row>
    <row r="7" spans="1:35" x14ac:dyDescent="0.25">
      <c r="A7" s="6" t="s">
        <v>31</v>
      </c>
      <c r="B7" s="6" t="s">
        <v>35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>
        <f t="shared" ref="AH7:AH10" si="3">COUNTIFS(C7:AG7,"P",$C$4:$AG$4,"&lt;&gt;SUN",$C$3:$AG$3,0)</f>
        <v>0</v>
      </c>
      <c r="AI7" s="6">
        <f t="shared" ref="AI7:AI10" si="4">COUNTIFS(C7:AG7,"A",$C$4:$AG$4,"&lt;&gt;SUN",$C$3:$AG$3,0)</f>
        <v>0</v>
      </c>
    </row>
    <row r="8" spans="1:35" x14ac:dyDescent="0.25">
      <c r="A8" s="6" t="s">
        <v>32</v>
      </c>
      <c r="B8" s="6" t="s">
        <v>36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>
        <f t="shared" si="3"/>
        <v>0</v>
      </c>
      <c r="AI8" s="6">
        <f t="shared" si="4"/>
        <v>0</v>
      </c>
    </row>
    <row r="9" spans="1:35" x14ac:dyDescent="0.25">
      <c r="A9" s="6" t="s">
        <v>33</v>
      </c>
      <c r="B9" s="6" t="s">
        <v>37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>
        <f t="shared" si="3"/>
        <v>0</v>
      </c>
      <c r="AI9" s="6">
        <f t="shared" si="4"/>
        <v>0</v>
      </c>
    </row>
    <row r="10" spans="1:35" x14ac:dyDescent="0.25">
      <c r="A10" s="6" t="s">
        <v>38</v>
      </c>
      <c r="B10" s="6" t="s">
        <v>39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>
        <f t="shared" si="3"/>
        <v>0</v>
      </c>
      <c r="AI10" s="6">
        <f t="shared" si="4"/>
        <v>0</v>
      </c>
    </row>
    <row r="11" spans="1:35" x14ac:dyDescent="0.25">
      <c r="A11" s="9"/>
      <c r="B11" s="9"/>
    </row>
  </sheetData>
  <mergeCells count="5">
    <mergeCell ref="A1:L1"/>
    <mergeCell ref="M1:Q1"/>
    <mergeCell ref="R1:T1"/>
    <mergeCell ref="D2:F2"/>
    <mergeCell ref="I2:K2"/>
  </mergeCells>
  <conditionalFormatting sqref="C4:AG5">
    <cfRule type="expression" dxfId="3" priority="3">
      <formula>OR(C$4="sun")</formula>
    </cfRule>
    <cfRule type="expression" dxfId="2" priority="4">
      <formula>COUNTIF(Holidays,C$5)</formula>
    </cfRule>
  </conditionalFormatting>
  <conditionalFormatting sqref="C6:AG10">
    <cfRule type="expression" dxfId="1" priority="1">
      <formula>OR(C$4="sun")</formula>
    </cfRule>
    <cfRule type="expression" dxfId="0" priority="2">
      <formula>COUNTIF(Holidays,C$5)</formula>
    </cfRule>
  </conditionalFormatting>
  <dataValidations count="3">
    <dataValidation type="custom" allowBlank="1" showInputMessage="1" showErrorMessage="1" errorTitle="WARNING" error="ENTRY IS NOT ALLOWED" sqref="AE6" xr:uid="{B6010254-23BB-4123-8EAE-04002F454907}">
      <formula1>AE$5&lt;&gt;""</formula1>
    </dataValidation>
    <dataValidation type="custom" allowBlank="1" showInputMessage="1" showErrorMessage="1" sqref="C6:AD10 AF6:AG10 AE7:AE10" xr:uid="{AEE91512-3907-47E8-A009-52E108CFF47C}">
      <formula1>C$5&lt;&gt;""</formula1>
    </dataValidation>
    <dataValidation type="list" allowBlank="1" showInputMessage="1" showErrorMessage="1" sqref="M1:Q1" xr:uid="{63FE2B3F-8359-4D38-B038-3F8C4011942D}">
      <formula1>Months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HELPER</vt:lpstr>
      <vt:lpstr>Sheet1</vt:lpstr>
      <vt:lpstr>january</vt:lpstr>
      <vt:lpstr>march</vt:lpstr>
      <vt:lpstr>Holidays</vt:lpstr>
      <vt:lpstr>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Aisum Moyong</dc:creator>
  <cp:lastModifiedBy>Aisum Moyong</cp:lastModifiedBy>
  <dcterms:created xsi:type="dcterms:W3CDTF">2015-06-05T18:17:20Z</dcterms:created>
  <dcterms:modified xsi:type="dcterms:W3CDTF">2021-05-13T09:06:01Z</dcterms:modified>
</cp:coreProperties>
</file>