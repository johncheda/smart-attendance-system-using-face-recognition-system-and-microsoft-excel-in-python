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1160" windowWidth="19440" xWindow="-120" yWindow="-120"/>
  </bookViews>
  <sheets>
    <sheet name="HELPER" sheetId="1" state="visible" r:id="rId1"/>
    <sheet name="Sheet1" sheetId="2" state="visible" r:id="rId2"/>
  </sheets>
  <definedNames>
    <definedName name="Holidays">HELPER!$D$2:$D$13</definedName>
    <definedName name="Months">HELPER!$A$2:$A$13</definedName>
  </definedNames>
  <calcPr calcId="191029" fullCalcOnLoad="1"/>
</workbook>
</file>

<file path=xl/styles.xml><?xml version="1.0" encoding="utf-8"?>
<styleSheet xmlns="http://schemas.openxmlformats.org/spreadsheetml/2006/main">
  <numFmts count="2">
    <numFmt formatCode="dd" numFmtId="164"/>
    <numFmt formatCode="yyyy" numFmtId="165"/>
  </numFmts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sto MT"/>
      <family val="1"/>
      <color theme="1"/>
      <sz val="12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48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borderId="0" fillId="0" fontId="0" numFmtId="0"/>
    <xf borderId="0" fillId="0" fontId="1" numFmtId="0"/>
  </cellStyleXfs>
  <cellXfs count="16">
    <xf borderId="0" fillId="0" fontId="0" numFmtId="0" pivotButton="0" quotePrefix="0" xfId="0"/>
    <xf borderId="0" fillId="0" fontId="1" numFmtId="0" pivotButton="0" quotePrefix="0" xfId="1"/>
    <xf borderId="0" fillId="0" fontId="0" numFmtId="14" pivotButton="0" quotePrefix="0" xfId="0"/>
    <xf applyAlignment="1" borderId="1" fillId="2" fontId="1" numFmtId="0" pivotButton="0" quotePrefix="0" xfId="1">
      <alignment horizontal="left" vertical="top" wrapText="1"/>
    </xf>
    <xf borderId="2" fillId="3" fontId="0" numFmtId="0" pivotButton="0" quotePrefix="0" xfId="0"/>
    <xf borderId="3" fillId="3" fontId="0" numFmtId="164" pivotButton="0" quotePrefix="0" xfId="0"/>
    <xf borderId="2" fillId="0" fontId="0" numFmtId="0" pivotButton="0" quotePrefix="0" xfId="0"/>
    <xf borderId="4" fillId="3" fontId="0" numFmtId="0" pivotButton="0" quotePrefix="0" xfId="0"/>
    <xf borderId="4" fillId="3" fontId="0" numFmtId="164" pivotButton="0" quotePrefix="0" xfId="0"/>
    <xf borderId="0" fillId="0" fontId="0" numFmtId="0" pivotButton="0" quotePrefix="0" xfId="0"/>
    <xf borderId="5" fillId="0" fontId="0" numFmtId="0" pivotButton="0" quotePrefix="0" xfId="0"/>
    <xf applyAlignment="1" borderId="0" fillId="0" fontId="0" numFmtId="165" pivotButton="0" quotePrefix="0" xfId="0">
      <alignment horizontal="center"/>
    </xf>
    <xf borderId="0" fillId="0" fontId="0" numFmtId="0" pivotButton="0" quotePrefix="0" xfId="0"/>
    <xf applyAlignment="1" borderId="0" fillId="0" fontId="0" numFmtId="14" pivotButton="0" quotePrefix="0" xfId="0">
      <alignment horizontal="center"/>
    </xf>
    <xf applyAlignment="1" borderId="0" fillId="0" fontId="2" numFmtId="0" pivotButton="0" quotePrefix="0" xfId="0">
      <alignment horizontal="center"/>
    </xf>
    <xf applyAlignment="1" borderId="0" fillId="0" fontId="0" numFmtId="0" pivotButton="0" quotePrefix="0" xfId="0">
      <alignment horizontal="center"/>
    </xf>
  </cellXfs>
  <cellStyles count="2">
    <cellStyle builtinId="0" name="Normal" xfId="0"/>
    <cellStyle builtinId="8" name="Hyperlink" xfId="1"/>
  </cellStyles>
  <dxfs count="8">
    <dxf>
      <font>
        <color theme="9" tint="-0.249946592608417"/>
      </font>
      <fill>
        <patternFill>
          <bgColor theme="9" tint="-0.24994659260841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C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249946592608417"/>
      </font>
      <fill>
        <patternFill>
          <bgColor theme="9" tint="-0.24994659260841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C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249946592608417"/>
      </font>
      <fill>
        <patternFill>
          <bgColor theme="9" tint="-0.24994659260841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C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</font>
      <fill>
        <patternFill>
          <bgColor theme="9" tint="-0.24994659260841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</font>
      <fill>
        <patternFill>
          <bgColor rgb="FFC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arget="https://www.timeanddate.com/holidays/india/new-year-day" TargetMode="External" Type="http://schemas.openxmlformats.org/officeDocument/2006/relationships/hyperlink" /><Relationship Id="rId2" Target="https://www.timeanddate.com/holidays/india/lohri" TargetMode="External" Type="http://schemas.openxmlformats.org/officeDocument/2006/relationships/hyperlink" /><Relationship Id="rId3" Target="https://www.timeanddate.com/holidays/india/pongal" TargetMode="External" Type="http://schemas.openxmlformats.org/officeDocument/2006/relationships/hyperlink" /><Relationship Id="rId4" Target="https://www.timeanddate.com/holidays/india/makar-sankranti" TargetMode="External" Type="http://schemas.openxmlformats.org/officeDocument/2006/relationships/hyperlink" /><Relationship Id="rId5" Target="https://www.timeanddate.com/holidays/india/republic-day" TargetMode="External" Type="http://schemas.openxmlformats.org/officeDocument/2006/relationships/hyperlink" /><Relationship Id="rId6" Target="https://www.timeanddate.com/holidays/india/may-day" TargetMode="External" Type="http://schemas.openxmlformats.org/officeDocument/2006/relationships/hyperlink" /><Relationship Id="rId7" Target="https://www.timeanddate.com/holidays/india/jamat-ul-vida" TargetMode="External" Type="http://schemas.openxmlformats.org/officeDocument/2006/relationships/hyperlink" /><Relationship Id="rId8" Target="https://www.timeanddate.com/holidays/india/mother-day" TargetMode="External" Type="http://schemas.openxmlformats.org/officeDocument/2006/relationships/hyperlink" /><Relationship Id="rId9" Target="https://www.timeanddate.com/calendar/june-solstice.html" TargetMode="External" Type="http://schemas.openxmlformats.org/officeDocument/2006/relationships/hyperlink" /><Relationship Id="rId10" Target="https://www.timeanddate.com/holidays/india/rath-yatra" TargetMode="External" Type="http://schemas.openxmlformats.org/officeDocument/2006/relationships/hyperlink" /><Relationship Id="rId11" Target="https://www.timeanddate.com/holidays/india/onam" TargetMode="External" Type="http://schemas.openxmlformats.org/officeDocument/2006/relationships/hyperlink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13"/>
  <sheetViews>
    <sheetView workbookViewId="0">
      <selection activeCell="D2" sqref="D2:D13"/>
    </sheetView>
  </sheetViews>
  <sheetFormatPr baseColWidth="8" defaultRowHeight="15"/>
  <cols>
    <col customWidth="1" max="1" min="1" style="12" width="18.28515625"/>
    <col customWidth="1" max="3" min="3" style="12" width="15.5703125"/>
    <col bestFit="1" customWidth="1" max="4" min="4" style="12" width="10.42578125"/>
  </cols>
  <sheetData>
    <row r="1">
      <c r="A1" t="inlineStr">
        <is>
          <t>Months</t>
        </is>
      </c>
      <c r="C1" t="inlineStr">
        <is>
          <t>Holidays</t>
        </is>
      </c>
    </row>
    <row r="2">
      <c r="A2" t="inlineStr">
        <is>
          <t>january</t>
        </is>
      </c>
      <c r="C2" s="1" t="inlineStr">
        <is>
          <t>New Year's Day</t>
        </is>
      </c>
      <c r="D2" s="2" t="n">
        <v>44197</v>
      </c>
    </row>
    <row r="3">
      <c r="A3" t="inlineStr">
        <is>
          <t>february</t>
        </is>
      </c>
      <c r="C3" s="1" t="inlineStr">
        <is>
          <t>Lohri</t>
        </is>
      </c>
      <c r="D3" s="2" t="n">
        <v>44209</v>
      </c>
    </row>
    <row r="4">
      <c r="A4" t="inlineStr">
        <is>
          <t>march</t>
        </is>
      </c>
      <c r="C4" s="1" t="inlineStr">
        <is>
          <t>Pongal</t>
        </is>
      </c>
      <c r="D4" s="2" t="n">
        <v>44210</v>
      </c>
    </row>
    <row r="5">
      <c r="A5" t="inlineStr">
        <is>
          <t>april</t>
        </is>
      </c>
      <c r="C5" s="1" t="inlineStr">
        <is>
          <t>Makar Sankranti</t>
        </is>
      </c>
      <c r="D5" s="2" t="n">
        <v>44210</v>
      </c>
    </row>
    <row r="6">
      <c r="A6" t="inlineStr">
        <is>
          <t>may</t>
        </is>
      </c>
      <c r="C6" s="1" t="inlineStr">
        <is>
          <t>Republic Day</t>
        </is>
      </c>
      <c r="D6" s="2" t="n">
        <v>44253</v>
      </c>
    </row>
    <row r="7">
      <c r="A7" t="inlineStr">
        <is>
          <t>june</t>
        </is>
      </c>
      <c r="C7" s="1" t="inlineStr">
        <is>
          <t>May Day</t>
        </is>
      </c>
      <c r="D7" s="2" t="n">
        <v>44317</v>
      </c>
    </row>
    <row r="8">
      <c r="A8" t="inlineStr">
        <is>
          <t>july</t>
        </is>
      </c>
      <c r="C8" s="1" t="inlineStr">
        <is>
          <t>Jamat Ul-Vida</t>
        </is>
      </c>
      <c r="D8" s="2" t="n">
        <v>44323</v>
      </c>
    </row>
    <row r="9">
      <c r="A9" t="inlineStr">
        <is>
          <t>august</t>
        </is>
      </c>
      <c r="C9" s="1" t="inlineStr">
        <is>
          <t>Mother's Day</t>
        </is>
      </c>
      <c r="D9" s="2" t="n">
        <v>44325</v>
      </c>
    </row>
    <row customHeight="1" ht="15.75" r="10" s="12" thickBot="1">
      <c r="A10" t="inlineStr">
        <is>
          <t>september</t>
        </is>
      </c>
      <c r="C10" t="inlineStr">
        <is>
          <t>Father's Day</t>
        </is>
      </c>
      <c r="D10" s="2" t="n">
        <v>44367</v>
      </c>
    </row>
    <row customHeight="1" ht="15.75" r="11" s="12" thickBot="1">
      <c r="A11" t="inlineStr">
        <is>
          <t>october</t>
        </is>
      </c>
      <c r="C11" s="3" t="inlineStr">
        <is>
          <t>June Solstice</t>
        </is>
      </c>
      <c r="D11" s="2" t="n">
        <v>44368</v>
      </c>
    </row>
    <row r="12">
      <c r="A12" t="inlineStr">
        <is>
          <t>november</t>
        </is>
      </c>
      <c r="C12" s="1" t="inlineStr">
        <is>
          <t>Rath Yatra</t>
        </is>
      </c>
      <c r="D12" s="2" t="n">
        <v>44389</v>
      </c>
    </row>
    <row r="13">
      <c r="A13" t="inlineStr">
        <is>
          <t>december</t>
        </is>
      </c>
      <c r="C13" s="1" t="inlineStr">
        <is>
          <t>Onam</t>
        </is>
      </c>
      <c r="D13" s="2" t="n">
        <v>44197</v>
      </c>
    </row>
  </sheetData>
  <hyperlinks>
    <hyperlink display="https://www.timeanddate.com/holidays/india/new-year-day" ref="C2" r:id="rId1"/>
    <hyperlink display="https://www.timeanddate.com/holidays/india/lohri" ref="C3" r:id="rId2"/>
    <hyperlink display="https://www.timeanddate.com/holidays/india/pongal" ref="C4" r:id="rId3"/>
    <hyperlink display="https://www.timeanddate.com/holidays/india/makar-sankranti" ref="C5" r:id="rId4"/>
    <hyperlink display="https://www.timeanddate.com/holidays/india/republic-day" ref="C6" r:id="rId5"/>
    <hyperlink display="https://www.timeanddate.com/holidays/india/may-day" ref="C7" r:id="rId6"/>
    <hyperlink display="https://www.timeanddate.com/holidays/india/jamat-ul-vida" ref="C8" r:id="rId7"/>
    <hyperlink display="https://www.timeanddate.com/holidays/india/mother-day" ref="C9" r:id="rId8"/>
    <hyperlink display="https://www.timeanddate.com/calendar/june-solstice.html" ref="C11" r:id="rId9"/>
    <hyperlink display="https://www.timeanddate.com/holidays/india/rath-yatra" ref="C12" r:id="rId10"/>
    <hyperlink display="https://www.timeanddate.com/holidays/india/onam" ref="C13" r:id="rId11"/>
  </hyperlinks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0"/>
  <sheetViews>
    <sheetView tabSelected="1" workbookViewId="0" zoomScale="82" zoomScaleNormal="82">
      <selection activeCell="AH13" sqref="AH13"/>
    </sheetView>
  </sheetViews>
  <sheetFormatPr baseColWidth="8" defaultRowHeight="15"/>
  <cols>
    <col customWidth="1" max="1" min="1" style="12" width="14.42578125"/>
    <col customWidth="1" max="2" min="2" style="12" width="21.5703125"/>
    <col customWidth="1" max="3" min="3" style="12" width="9.42578125"/>
    <col customWidth="1" max="4" min="4" style="12" width="4.85546875"/>
    <col customWidth="1" max="5" min="5" style="12" width="4.5703125"/>
    <col customWidth="1" max="6" min="6" style="12" width="3.7109375"/>
    <col customWidth="1" max="7" min="7" style="12" width="3.85546875"/>
    <col customWidth="1" max="8" min="8" style="12" width="8.42578125"/>
    <col customWidth="1" max="9" min="9" style="12" width="10.5703125"/>
    <col customWidth="1" max="10" min="10" style="12" width="12.7109375"/>
    <col customWidth="1" max="11" min="11" style="12" width="3.7109375"/>
    <col customWidth="1" max="12" min="12" style="12" width="5"/>
    <col customWidth="1" max="13" min="13" style="12" width="3.85546875"/>
    <col customWidth="1" max="15" min="14" style="12" width="4"/>
    <col customWidth="1" max="16" min="16" style="12" width="3.7109375"/>
    <col customWidth="1" max="17" min="17" style="12" width="4.42578125"/>
    <col customWidth="1" max="18" min="18" style="12" width="3.85546875"/>
    <col customWidth="1" max="19" min="19" style="12" width="4.42578125"/>
    <col customWidth="1" max="20" min="20" style="12" width="3.85546875"/>
    <col customWidth="1" max="21" min="21" style="12" width="3.7109375"/>
    <col customWidth="1" max="22" min="22" style="12" width="3.5703125"/>
    <col customWidth="1" max="23" min="23" style="12" width="4"/>
    <col customWidth="1" max="24" min="24" style="12" width="4.42578125"/>
    <col customWidth="1" max="25" min="25" style="12" width="4.28515625"/>
    <col customWidth="1" max="26" min="26" style="12" width="4.85546875"/>
    <col customWidth="1" max="27" min="27" style="12" width="3.85546875"/>
    <col customWidth="1" max="29" min="28" style="12" width="3.5703125"/>
    <col customWidth="1" max="30" min="30" style="12" width="4.28515625"/>
    <col customWidth="1" max="31" min="31" style="12" width="4"/>
    <col customWidth="1" max="32" min="32" style="12" width="4.28515625"/>
    <col customWidth="1" max="33" min="33" style="12" width="4.42578125"/>
    <col customWidth="1" max="34" min="34" style="12" width="11.140625"/>
    <col customWidth="1" max="35" min="35" style="12" width="11.7109375"/>
    <col customWidth="1" max="36" min="36" style="12" width="12.5703125"/>
  </cols>
  <sheetData>
    <row customHeight="1" ht="15.75" r="1" s="12">
      <c r="A1" s="14" t="inlineStr">
        <is>
          <t xml:space="preserve">ATTENDANCE FOR THE MONTH OF </t>
        </is>
      </c>
      <c r="M1" s="15" t="inlineStr">
        <is>
          <t>september</t>
        </is>
      </c>
      <c r="R1" s="11">
        <f>D2</f>
        <v/>
      </c>
    </row>
    <row r="2">
      <c r="D2" s="13">
        <f>DATEVALUE("1"&amp;M1)</f>
        <v/>
      </c>
      <c r="H2" t="inlineStr">
        <is>
          <t>End Date</t>
        </is>
      </c>
      <c r="I2" s="13">
        <f>EOMONTH(D2,0)</f>
        <v/>
      </c>
    </row>
    <row r="3">
      <c r="C3">
        <f>IFERROR(IF(C5="",1,MATCH(C5,Holidays,0)),0)</f>
        <v/>
      </c>
      <c r="D3">
        <f>IFERROR(IF(D5="",1,MATCH(D5,Holidays,0)),0)</f>
        <v/>
      </c>
      <c r="E3">
        <f>IFERROR(IF(E5="",1,MATCH(E5,Holidays,0)),0)</f>
        <v/>
      </c>
      <c r="F3">
        <f>IFERROR(IF(F5="",1,MATCH(F5,Holidays,0)),0)</f>
        <v/>
      </c>
      <c r="G3">
        <f>IFERROR(IF(G5="",1,MATCH(G5,Holidays,0)),0)</f>
        <v/>
      </c>
      <c r="H3">
        <f>IFERROR(IF(H5="",1,MATCH(H5,Holidays,0)),0)</f>
        <v/>
      </c>
      <c r="I3">
        <f>IFERROR(IF(I5="",1,MATCH(I5,Holidays,0)),0)</f>
        <v/>
      </c>
      <c r="J3">
        <f>IFERROR(IF(J5="",1,MATCH(J5,Holidays,0)),0)</f>
        <v/>
      </c>
      <c r="K3">
        <f>IFERROR(IF(K5="",1,MATCH(K5,Holidays,0)),0)</f>
        <v/>
      </c>
      <c r="L3">
        <f>IFERROR(IF(L5="",1,MATCH(L5,Holidays,0)),0)</f>
        <v/>
      </c>
      <c r="M3">
        <f>IFERROR(IF(M5="",1,MATCH(M5,Holidays,0)),0)</f>
        <v/>
      </c>
      <c r="N3">
        <f>IFERROR(IF(N5="",1,MATCH(N5,Holidays,0)),0)</f>
        <v/>
      </c>
      <c r="O3">
        <f>IFERROR(IF(O5="",1,MATCH(O5,Holidays,0)),0)</f>
        <v/>
      </c>
      <c r="P3">
        <f>IFERROR(IF(P5="",1,MATCH(P5,Holidays,0)),0)</f>
        <v/>
      </c>
      <c r="Q3">
        <f>IFERROR(IF(Q5="",1,MATCH(Q5,Holidays,0)),0)</f>
        <v/>
      </c>
      <c r="R3">
        <f>IFERROR(IF(R5="",1,MATCH(R5,Holidays,0)),0)</f>
        <v/>
      </c>
      <c r="S3">
        <f>IFERROR(IF(S5="",1,MATCH(S5,Holidays,0)),0)</f>
        <v/>
      </c>
      <c r="T3">
        <f>IFERROR(IF(T5="",1,MATCH(T5,Holidays,0)),0)</f>
        <v/>
      </c>
      <c r="U3">
        <f>IFERROR(IF(U5="",1,MATCH(U5,Holidays,0)),0)</f>
        <v/>
      </c>
      <c r="V3">
        <f>IFERROR(IF(V5="",1,MATCH(V5,Holidays,0)),0)</f>
        <v/>
      </c>
      <c r="W3">
        <f>IFERROR(IF(W5="",1,MATCH(W5,Holidays,0)),0)</f>
        <v/>
      </c>
      <c r="X3">
        <f>IFERROR(IF(X5="",1,MATCH(X5,Holidays,0)),0)</f>
        <v/>
      </c>
      <c r="Y3">
        <f>IFERROR(IF(Y5="",1,MATCH(Y5,Holidays,0)),0)</f>
        <v/>
      </c>
      <c r="Z3">
        <f>IFERROR(IF(Z5="",1,MATCH(Z5,Holidays,0)),0)</f>
        <v/>
      </c>
      <c r="AA3">
        <f>IFERROR(IF(AA5="",1,MATCH(AA5,Holidays,0)),0)</f>
        <v/>
      </c>
      <c r="AB3">
        <f>IFERROR(IF(AB5="",1,MATCH(AB5,Holidays,0)),0)</f>
        <v/>
      </c>
      <c r="AC3">
        <f>IFERROR(IF(AC5="",1,MATCH(AC5,Holidays,0)),0)</f>
        <v/>
      </c>
      <c r="AD3">
        <f>IFERROR(IF(AD5="",1,MATCH(AD5,Holidays,0)),0)</f>
        <v/>
      </c>
      <c r="AE3">
        <f>IFERROR(IF(AE5="",1,MATCH(AE5,Holidays,0)),0)</f>
        <v/>
      </c>
      <c r="AF3">
        <f>IFERROR(IF(AF5="",1,MATCH(AF5,Holidays,0)),0)</f>
        <v/>
      </c>
      <c r="AG3">
        <f>IFERROR(IF(AG5="",1,MATCH(AG5,Holidays,0)),0)</f>
        <v/>
      </c>
    </row>
    <row r="4">
      <c r="A4" s="4" t="n"/>
      <c r="B4" s="4" t="n"/>
      <c r="C4" s="7">
        <f>TEXT(C5,"ddd")</f>
        <v/>
      </c>
      <c r="D4" s="4">
        <f>TEXT(D5,"ddd")</f>
        <v/>
      </c>
      <c r="E4" s="4">
        <f>TEXT(E5,"ddd")</f>
        <v/>
      </c>
      <c r="F4" s="4">
        <f>TEXT(F5,"ddd")</f>
        <v/>
      </c>
      <c r="G4" s="4">
        <f>TEXT(G5,"ddd")</f>
        <v/>
      </c>
      <c r="H4" s="4">
        <f>TEXT(H5,"ddd")</f>
        <v/>
      </c>
      <c r="I4" s="4">
        <f>TEXT(I5,"ddd")</f>
        <v/>
      </c>
      <c r="J4" s="4">
        <f>TEXT(J5,"ddd")</f>
        <v/>
      </c>
      <c r="K4" s="4">
        <f>TEXT(K5,"ddd")</f>
        <v/>
      </c>
      <c r="L4" s="4">
        <f>TEXT(L5,"ddd")</f>
        <v/>
      </c>
      <c r="M4" s="4">
        <f>TEXT(M5,"ddd")</f>
        <v/>
      </c>
      <c r="N4" s="4">
        <f>TEXT(N5,"ddd")</f>
        <v/>
      </c>
      <c r="O4" s="4">
        <f>TEXT(O5,"ddd")</f>
        <v/>
      </c>
      <c r="P4" s="4">
        <f>TEXT(P5,"ddd")</f>
        <v/>
      </c>
      <c r="Q4" s="4">
        <f>TEXT(Q5,"ddd")</f>
        <v/>
      </c>
      <c r="R4" s="4">
        <f>TEXT(R5,"ddd")</f>
        <v/>
      </c>
      <c r="S4" s="4">
        <f>TEXT(S5,"ddd")</f>
        <v/>
      </c>
      <c r="T4" s="4">
        <f>TEXT(T5,"ddd")</f>
        <v/>
      </c>
      <c r="U4" s="4">
        <f>TEXT(U5,"ddd")</f>
        <v/>
      </c>
      <c r="V4" s="4">
        <f>TEXT(V5,"ddd")</f>
        <v/>
      </c>
      <c r="W4" s="4">
        <f>TEXT(W5,"ddd")</f>
        <v/>
      </c>
      <c r="X4" s="4">
        <f>TEXT(X5,"ddd")</f>
        <v/>
      </c>
      <c r="Y4" s="4">
        <f>TEXT(Y5,"ddd")</f>
        <v/>
      </c>
      <c r="Z4" s="4">
        <f>TEXT(Z5,"ddd")</f>
        <v/>
      </c>
      <c r="AA4" s="4">
        <f>TEXT(AA5,"ddd")</f>
        <v/>
      </c>
      <c r="AB4" s="4">
        <f>TEXT(AB5,"ddd")</f>
        <v/>
      </c>
      <c r="AC4" s="4">
        <f>TEXT(AC5,"ddd")</f>
        <v/>
      </c>
      <c r="AD4" s="4">
        <f>TEXT(AD5,"ddd")</f>
        <v/>
      </c>
      <c r="AE4" s="4">
        <f>TEXT(AE5,"ddd")</f>
        <v/>
      </c>
      <c r="AF4" s="4">
        <f>TEXT(AF5,"ddd")</f>
        <v/>
      </c>
      <c r="AG4" s="4">
        <f>TEXT(AG5,"ddd")</f>
        <v/>
      </c>
    </row>
    <row r="5">
      <c r="A5" s="4" t="inlineStr">
        <is>
          <t>ROLL_NO</t>
        </is>
      </c>
      <c r="B5" s="4" t="inlineStr">
        <is>
          <t>NAME</t>
        </is>
      </c>
      <c r="C5" s="8">
        <f>D2</f>
        <v/>
      </c>
      <c r="D5" s="5">
        <f>IF(C5&lt;$I$2,C5+1,"")</f>
        <v/>
      </c>
      <c r="E5" s="5">
        <f>IF(D5&lt;$I$2,D5+1,"")</f>
        <v/>
      </c>
      <c r="F5" s="5">
        <f>IF(E5&lt;$I$2,E5+1,"")</f>
        <v/>
      </c>
      <c r="G5" s="5">
        <f>IF(F5&lt;$I$2,F5+1,"")</f>
        <v/>
      </c>
      <c r="H5" s="5">
        <f>IF(G5&lt;$I$2,G5+1,"")</f>
        <v/>
      </c>
      <c r="I5" s="5">
        <f>IF(H5&lt;$I$2,H5+1,"")</f>
        <v/>
      </c>
      <c r="J5" s="5">
        <f>IF(I5&lt;$I$2,I5+1,"")</f>
        <v/>
      </c>
      <c r="K5" s="5">
        <f>IF(J5&lt;$I$2,J5+1,"")</f>
        <v/>
      </c>
      <c r="L5" s="5">
        <f>IF(K5&lt;$I$2,K5+1,"")</f>
        <v/>
      </c>
      <c r="M5" s="5">
        <f>IF(L5&lt;$I$2,L5+1,"")</f>
        <v/>
      </c>
      <c r="N5" s="5">
        <f>IF(M5&lt;$I$2,M5+1,"")</f>
        <v/>
      </c>
      <c r="O5" s="5">
        <f>IF(N5&lt;$I$2,N5+1,"")</f>
        <v/>
      </c>
      <c r="P5" s="5">
        <f>IF(O5&lt;$I$2,O5+1,"")</f>
        <v/>
      </c>
      <c r="Q5" s="5">
        <f>IF(P5&lt;$I$2,P5+1,"")</f>
        <v/>
      </c>
      <c r="R5" s="5">
        <f>IF(Q5&lt;$I$2,Q5+1,"")</f>
        <v/>
      </c>
      <c r="S5" s="5">
        <f>IF(R5&lt;$I$2,R5+1,"")</f>
        <v/>
      </c>
      <c r="T5" s="5">
        <f>IF(S5&lt;$I$2,S5+1,"")</f>
        <v/>
      </c>
      <c r="U5" s="5">
        <f>IF(T5&lt;$I$2,T5+1,"")</f>
        <v/>
      </c>
      <c r="V5" s="5">
        <f>IF(U5&lt;$I$2,U5+1,"")</f>
        <v/>
      </c>
      <c r="W5" s="5">
        <f>IF(V5&lt;$I$2,V5+1,"")</f>
        <v/>
      </c>
      <c r="X5" s="5">
        <f>IF(W5&lt;$I$2,W5+1,"")</f>
        <v/>
      </c>
      <c r="Y5" s="5">
        <f>IF(X5&lt;$I$2,X5+1,"")</f>
        <v/>
      </c>
      <c r="Z5" s="5">
        <f>IF(Y5&lt;$I$2,Y5+1,"")</f>
        <v/>
      </c>
      <c r="AA5" s="5">
        <f>IF(Z5&lt;$I$2,Z5+1,"")</f>
        <v/>
      </c>
      <c r="AB5" s="5">
        <f>IF(AA5&lt;$I$2,AA5+1,"")</f>
        <v/>
      </c>
      <c r="AC5" s="5">
        <f>IF(AB5&lt;$I$2,AB5+1,"")</f>
        <v/>
      </c>
      <c r="AD5" s="5">
        <f>IF(AC5&lt;$I$2,AC5+1,"")</f>
        <v/>
      </c>
      <c r="AE5" s="5">
        <f>IF(AD5&lt;$I$2,AD5+1,"")</f>
        <v/>
      </c>
      <c r="AF5" s="5">
        <f>IF(AE5&lt;$I$2,AE5+1,"")</f>
        <v/>
      </c>
      <c r="AG5" s="5">
        <f>IF(AF5&lt;$I$2,AF5+1,"")</f>
        <v/>
      </c>
    </row>
    <row r="6">
      <c r="A6" s="6" t="inlineStr">
        <is>
          <t>21MCA201</t>
        </is>
      </c>
      <c r="B6" s="6" t="inlineStr">
        <is>
          <t>ADITYA DAS</t>
        </is>
      </c>
      <c r="C6" s="6" t="n"/>
      <c r="D6" s="6" t="n"/>
      <c r="E6" s="6" t="n"/>
      <c r="F6" s="6" t="n"/>
      <c r="G6" s="6" t="n"/>
      <c r="H6" s="6" t="n"/>
      <c r="I6" s="6" t="inlineStr">
        <is>
          <t>P</t>
        </is>
      </c>
      <c r="J6" s="6" t="inlineStr">
        <is>
          <t>P</t>
        </is>
      </c>
      <c r="K6" s="6" t="inlineStr">
        <is>
          <t>P</t>
        </is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</row>
    <row r="7">
      <c r="A7" s="6" t="inlineStr">
        <is>
          <t>21MCA202</t>
        </is>
      </c>
      <c r="B7" s="6" t="inlineStr">
        <is>
          <t>AISUM MOYONG</t>
        </is>
      </c>
      <c r="C7" s="6" t="n"/>
      <c r="D7" s="6" t="n"/>
      <c r="E7" s="6" t="n"/>
      <c r="F7" s="6" t="n"/>
      <c r="G7" s="6" t="n"/>
      <c r="H7" s="6" t="inlineStr">
        <is>
          <t>P</t>
        </is>
      </c>
      <c r="I7" s="6" t="inlineStr">
        <is>
          <t>P</t>
        </is>
      </c>
      <c r="J7" s="6" t="inlineStr">
        <is>
          <t>P</t>
        </is>
      </c>
      <c r="K7" s="6" t="inlineStr">
        <is>
          <t>P</t>
        </is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</row>
    <row r="8">
      <c r="A8" s="6" t="inlineStr">
        <is>
          <t>21MCA203</t>
        </is>
      </c>
      <c r="B8" s="6" t="inlineStr">
        <is>
          <t>ANGSHUMAN KAKATI</t>
        </is>
      </c>
      <c r="C8" s="6" t="n"/>
      <c r="D8" s="6" t="n"/>
      <c r="E8" s="6" t="n"/>
      <c r="F8" s="6" t="n"/>
      <c r="G8" s="6" t="n"/>
      <c r="H8" s="6" t="n"/>
      <c r="I8" s="6" t="inlineStr">
        <is>
          <t>P</t>
        </is>
      </c>
      <c r="J8" s="6" t="inlineStr">
        <is>
          <t>P</t>
        </is>
      </c>
      <c r="K8" s="6" t="inlineStr">
        <is>
          <t>P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</row>
    <row r="9">
      <c r="A9" s="6" t="inlineStr">
        <is>
          <t>21MCA204</t>
        </is>
      </c>
      <c r="B9" s="6" t="inlineStr">
        <is>
          <t>ANTHONY TALOH</t>
        </is>
      </c>
      <c r="C9" s="6" t="n"/>
      <c r="D9" s="6" t="n"/>
      <c r="E9" s="6" t="n"/>
      <c r="F9" s="6" t="n"/>
      <c r="G9" s="6" t="n"/>
      <c r="H9" s="6" t="n"/>
      <c r="I9" s="6" t="inlineStr">
        <is>
          <t>A</t>
        </is>
      </c>
      <c r="J9" s="6" t="inlineStr">
        <is>
          <t>A</t>
        </is>
      </c>
      <c r="K9" s="6" t="inlineStr">
        <is>
          <t>A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</row>
    <row r="10">
      <c r="A10" s="6" t="inlineStr">
        <is>
          <t>21MCA205</t>
        </is>
      </c>
      <c r="B10" s="6" t="inlineStr">
        <is>
          <t>ARUP BASUMATARY</t>
        </is>
      </c>
      <c r="C10" s="6" t="n"/>
      <c r="D10" s="6" t="n"/>
      <c r="E10" s="6" t="n"/>
      <c r="F10" s="6" t="n"/>
      <c r="G10" s="6" t="n"/>
      <c r="H10" s="6" t="n"/>
      <c r="I10" s="6" t="inlineStr">
        <is>
          <t>P</t>
        </is>
      </c>
      <c r="J10" s="6" t="inlineStr">
        <is>
          <t>P</t>
        </is>
      </c>
      <c r="K10" s="6" t="inlineStr">
        <is>
          <t>P</t>
        </is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</row>
    <row r="11">
      <c r="A11" s="6" t="inlineStr">
        <is>
          <t>21MCA206</t>
        </is>
      </c>
      <c r="B11" s="6" t="inlineStr">
        <is>
          <t>BIBEK KUMAR DUBEY</t>
        </is>
      </c>
      <c r="C11" s="6" t="n"/>
      <c r="D11" s="6" t="n"/>
      <c r="E11" s="6" t="n"/>
      <c r="F11" s="6" t="n"/>
      <c r="G11" s="6" t="n"/>
      <c r="H11" s="6" t="n"/>
      <c r="I11" s="6" t="inlineStr">
        <is>
          <t>P</t>
        </is>
      </c>
      <c r="J11" s="6" t="inlineStr">
        <is>
          <t>A</t>
        </is>
      </c>
      <c r="K11" s="6" t="inlineStr">
        <is>
          <t>P</t>
        </is>
      </c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</row>
    <row r="12">
      <c r="A12" s="6" t="inlineStr">
        <is>
          <t>21MCA207</t>
        </is>
      </c>
      <c r="B12" s="6" t="inlineStr">
        <is>
          <t>BIVASH SINGH</t>
        </is>
      </c>
      <c r="C12" s="6" t="n"/>
      <c r="D12" s="6" t="n"/>
      <c r="E12" s="6" t="n"/>
      <c r="F12" s="6" t="n"/>
      <c r="G12" s="6" t="n"/>
      <c r="H12" s="6" t="n"/>
      <c r="I12" s="6" t="inlineStr">
        <is>
          <t>P</t>
        </is>
      </c>
      <c r="J12" s="6" t="inlineStr">
        <is>
          <t>P</t>
        </is>
      </c>
      <c r="K12" s="6" t="inlineStr">
        <is>
          <t>P</t>
        </is>
      </c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</row>
    <row r="13">
      <c r="A13" s="6" t="inlineStr">
        <is>
          <t>21MCA208</t>
        </is>
      </c>
      <c r="B13" s="6" t="inlineStr">
        <is>
          <t>HAGE TAMO</t>
        </is>
      </c>
      <c r="C13" s="6" t="n"/>
      <c r="D13" s="6" t="n"/>
      <c r="E13" s="6" t="n"/>
      <c r="F13" s="6" t="n"/>
      <c r="G13" s="6" t="n"/>
      <c r="H13" s="6" t="n"/>
      <c r="I13" s="6" t="inlineStr">
        <is>
          <t>A</t>
        </is>
      </c>
      <c r="J13" s="6" t="inlineStr">
        <is>
          <t>A</t>
        </is>
      </c>
      <c r="K13" s="6" t="inlineStr">
        <is>
          <t>A</t>
        </is>
      </c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</row>
    <row r="14">
      <c r="A14" s="6" t="inlineStr">
        <is>
          <t>21MCA209</t>
        </is>
      </c>
      <c r="B14" s="6" t="inlineStr">
        <is>
          <t>JOHN CHEDA</t>
        </is>
      </c>
      <c r="C14" s="6" t="n"/>
      <c r="D14" s="6" t="n"/>
      <c r="E14" s="6" t="n"/>
      <c r="F14" s="6" t="n"/>
      <c r="G14" s="6" t="n"/>
      <c r="H14" s="6" t="n"/>
      <c r="I14" s="6" t="inlineStr">
        <is>
          <t>P</t>
        </is>
      </c>
      <c r="J14" s="6" t="inlineStr">
        <is>
          <t>P</t>
        </is>
      </c>
      <c r="K14" s="6" t="inlineStr">
        <is>
          <t>P</t>
        </is>
      </c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</row>
    <row r="15">
      <c r="A15" s="6" t="inlineStr">
        <is>
          <t>21MCA210</t>
        </is>
      </c>
      <c r="B15" s="6" t="inlineStr">
        <is>
          <t>KAGO MODA</t>
        </is>
      </c>
      <c r="C15" s="6" t="n"/>
      <c r="D15" s="6" t="n"/>
      <c r="E15" s="6" t="n"/>
      <c r="F15" s="6" t="n"/>
      <c r="G15" s="6" t="n"/>
      <c r="H15" s="6" t="n"/>
      <c r="I15" s="6" t="inlineStr">
        <is>
          <t>A</t>
        </is>
      </c>
      <c r="J15" s="6" t="inlineStr">
        <is>
          <t>A</t>
        </is>
      </c>
      <c r="K15" s="6" t="inlineStr">
        <is>
          <t>P</t>
        </is>
      </c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</row>
    <row r="16">
      <c r="A16" s="6" t="inlineStr">
        <is>
          <t>21MCA211</t>
        </is>
      </c>
      <c r="B16" s="6" t="inlineStr">
        <is>
          <t>KRISHNA SONAR ROY</t>
        </is>
      </c>
      <c r="C16" s="6" t="n"/>
      <c r="D16" s="6" t="n"/>
      <c r="E16" s="6" t="n"/>
      <c r="F16" s="6" t="n"/>
      <c r="G16" s="6" t="n"/>
      <c r="H16" s="6" t="n"/>
      <c r="I16" s="6" t="inlineStr">
        <is>
          <t>P</t>
        </is>
      </c>
      <c r="J16" s="6" t="inlineStr">
        <is>
          <t>A</t>
        </is>
      </c>
      <c r="K16" s="6" t="inlineStr">
        <is>
          <t>A</t>
        </is>
      </c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</row>
    <row r="17">
      <c r="A17" s="6" t="inlineStr">
        <is>
          <t>21MCA212</t>
        </is>
      </c>
      <c r="B17" s="6" t="inlineStr">
        <is>
          <t>KUMAR ANAND RAJ</t>
        </is>
      </c>
      <c r="C17" s="6" t="n"/>
      <c r="D17" s="6" t="n"/>
      <c r="E17" s="6" t="n"/>
      <c r="F17" s="6" t="n"/>
      <c r="G17" s="6" t="n"/>
      <c r="H17" s="6" t="n"/>
      <c r="I17" s="6" t="inlineStr">
        <is>
          <t>P</t>
        </is>
      </c>
      <c r="J17" s="6" t="inlineStr">
        <is>
          <t>P</t>
        </is>
      </c>
      <c r="K17" s="6" t="inlineStr">
        <is>
          <t>P</t>
        </is>
      </c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</row>
    <row r="18">
      <c r="A18" s="6" t="inlineStr">
        <is>
          <t>21MCA213</t>
        </is>
      </c>
      <c r="B18" s="6" t="inlineStr">
        <is>
          <t>NANDANA MEDHI</t>
        </is>
      </c>
      <c r="C18" s="6" t="n"/>
      <c r="D18" s="6" t="n"/>
      <c r="E18" s="6" t="n"/>
      <c r="F18" s="6" t="n"/>
      <c r="G18" s="6" t="n"/>
      <c r="H18" s="6" t="n"/>
      <c r="I18" s="6" t="inlineStr">
        <is>
          <t>P</t>
        </is>
      </c>
      <c r="J18" s="6" t="inlineStr">
        <is>
          <t>A</t>
        </is>
      </c>
      <c r="K18" s="6" t="inlineStr">
        <is>
          <t>P</t>
        </is>
      </c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</row>
    <row r="19">
      <c r="A19" s="6" t="inlineStr">
        <is>
          <t>21MCA214</t>
        </is>
      </c>
      <c r="B19" s="6" t="inlineStr">
        <is>
          <t>OYIMANG TATIN</t>
        </is>
      </c>
      <c r="C19" s="6" t="n"/>
      <c r="D19" s="6" t="n"/>
      <c r="E19" s="6" t="n"/>
      <c r="F19" s="6" t="n"/>
      <c r="G19" s="6" t="n"/>
      <c r="H19" s="6" t="n"/>
      <c r="I19" s="6" t="inlineStr">
        <is>
          <t>P</t>
        </is>
      </c>
      <c r="J19" s="6" t="inlineStr">
        <is>
          <t>P</t>
        </is>
      </c>
      <c r="K19" s="6" t="inlineStr">
        <is>
          <t>P</t>
        </is>
      </c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</row>
    <row r="20">
      <c r="A20" s="6" t="inlineStr">
        <is>
          <t>21MCA215</t>
        </is>
      </c>
      <c r="B20" s="6" t="inlineStr">
        <is>
          <t>RAJA TAKU</t>
        </is>
      </c>
      <c r="C20" s="6" t="n"/>
      <c r="D20" s="6" t="n"/>
      <c r="E20" s="6" t="n"/>
      <c r="F20" s="6" t="n"/>
      <c r="G20" s="6" t="n"/>
      <c r="H20" s="6" t="n"/>
      <c r="I20" s="6" t="inlineStr">
        <is>
          <t>P</t>
        </is>
      </c>
      <c r="J20" s="6" t="inlineStr">
        <is>
          <t>P</t>
        </is>
      </c>
      <c r="K20" s="6" t="inlineStr">
        <is>
          <t>P</t>
        </is>
      </c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</row>
    <row r="21">
      <c r="A21" s="6" t="inlineStr">
        <is>
          <t>21MCA216</t>
        </is>
      </c>
      <c r="B21" s="6" t="inlineStr">
        <is>
          <t>ROBART KONWAR</t>
        </is>
      </c>
      <c r="C21" s="6" t="n"/>
      <c r="D21" s="6" t="n"/>
      <c r="E21" s="6" t="n"/>
      <c r="F21" s="6" t="n"/>
      <c r="G21" s="6" t="n"/>
      <c r="H21" s="6" t="n"/>
      <c r="I21" s="6" t="inlineStr">
        <is>
          <t>P</t>
        </is>
      </c>
      <c r="J21" s="6" t="inlineStr">
        <is>
          <t>P</t>
        </is>
      </c>
      <c r="K21" s="6" t="inlineStr">
        <is>
          <t>P</t>
        </is>
      </c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</row>
    <row r="22">
      <c r="A22" s="6" t="inlineStr">
        <is>
          <t>21MCA217</t>
        </is>
      </c>
      <c r="B22" s="6" t="inlineStr">
        <is>
          <t>SAURAV SINGH</t>
        </is>
      </c>
      <c r="C22" s="6" t="n"/>
      <c r="D22" s="6" t="n"/>
      <c r="E22" s="6" t="n"/>
      <c r="F22" s="6" t="n"/>
      <c r="G22" s="6" t="n"/>
      <c r="H22" s="6" t="n"/>
      <c r="I22" s="6" t="inlineStr">
        <is>
          <t>P</t>
        </is>
      </c>
      <c r="J22" s="6" t="inlineStr">
        <is>
          <t>A</t>
        </is>
      </c>
      <c r="K22" s="6" t="inlineStr">
        <is>
          <t>P</t>
        </is>
      </c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</row>
    <row r="23">
      <c r="A23" s="6" t="inlineStr">
        <is>
          <t>21MCA218</t>
        </is>
      </c>
      <c r="B23" s="6" t="inlineStr">
        <is>
          <t>SUJIT MONDAL</t>
        </is>
      </c>
      <c r="C23" s="6" t="n"/>
      <c r="D23" s="6" t="n"/>
      <c r="E23" s="6" t="n"/>
      <c r="F23" s="6" t="n"/>
      <c r="G23" s="6" t="n"/>
      <c r="H23" s="6" t="n"/>
      <c r="I23" s="6" t="inlineStr">
        <is>
          <t>A</t>
        </is>
      </c>
      <c r="J23" s="6" t="inlineStr">
        <is>
          <t>P</t>
        </is>
      </c>
      <c r="K23" s="6" t="inlineStr">
        <is>
          <t>P</t>
        </is>
      </c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</row>
    <row r="24">
      <c r="A24" s="6" t="inlineStr">
        <is>
          <t>20MCA301</t>
        </is>
      </c>
      <c r="B24" s="6" t="inlineStr">
        <is>
          <t>ANUJA SARMAH</t>
        </is>
      </c>
      <c r="C24" s="6" t="n"/>
      <c r="D24" s="6" t="n"/>
      <c r="E24" s="6" t="n"/>
      <c r="F24" s="6" t="n"/>
      <c r="G24" s="6" t="n"/>
      <c r="H24" s="6" t="n"/>
      <c r="I24" s="6" t="inlineStr">
        <is>
          <t>P</t>
        </is>
      </c>
      <c r="J24" s="6" t="inlineStr">
        <is>
          <t>P</t>
        </is>
      </c>
      <c r="K24" s="6" t="inlineStr">
        <is>
          <t>P</t>
        </is>
      </c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</row>
    <row r="25">
      <c r="A25" s="6" t="inlineStr">
        <is>
          <t>20MCA304</t>
        </is>
      </c>
      <c r="B25" s="6" t="inlineStr">
        <is>
          <t>PINKU BORAH</t>
        </is>
      </c>
      <c r="C25" s="6" t="n"/>
      <c r="D25" s="6" t="n"/>
      <c r="E25" s="6" t="n"/>
      <c r="F25" s="6" t="n"/>
      <c r="G25" s="6" t="n"/>
      <c r="H25" s="6" t="n"/>
      <c r="I25" s="6" t="inlineStr">
        <is>
          <t>P</t>
        </is>
      </c>
      <c r="J25" s="6" t="inlineStr">
        <is>
          <t>P</t>
        </is>
      </c>
      <c r="K25" s="6" t="inlineStr">
        <is>
          <t>P</t>
        </is>
      </c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</row>
    <row r="26">
      <c r="A26" s="6" t="inlineStr">
        <is>
          <t>20MCA305</t>
        </is>
      </c>
      <c r="B26" s="6" t="inlineStr">
        <is>
          <t>PRABHAKAR MUDOI</t>
        </is>
      </c>
      <c r="C26" s="6" t="n"/>
      <c r="D26" s="6" t="n"/>
      <c r="E26" s="6" t="n"/>
      <c r="F26" s="6" t="n"/>
      <c r="G26" s="6" t="n"/>
      <c r="H26" s="6" t="n"/>
      <c r="I26" s="6" t="inlineStr">
        <is>
          <t>P</t>
        </is>
      </c>
      <c r="J26" s="6" t="inlineStr">
        <is>
          <t>P</t>
        </is>
      </c>
      <c r="K26" s="6" t="inlineStr">
        <is>
          <t>P</t>
        </is>
      </c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</row>
    <row r="27">
      <c r="A27" s="6" t="inlineStr">
        <is>
          <t>20MCA306</t>
        </is>
      </c>
      <c r="B27" s="6" t="inlineStr">
        <is>
          <t>PRATISHRUTI BARUAH</t>
        </is>
      </c>
      <c r="C27" s="6" t="n"/>
      <c r="D27" s="6" t="n"/>
      <c r="E27" s="6" t="n"/>
      <c r="F27" s="6" t="n"/>
      <c r="G27" s="6" t="n"/>
      <c r="H27" s="6" t="n"/>
      <c r="I27" s="6" t="inlineStr">
        <is>
          <t>P</t>
        </is>
      </c>
      <c r="J27" s="6" t="inlineStr">
        <is>
          <t>P</t>
        </is>
      </c>
      <c r="K27" s="6" t="inlineStr">
        <is>
          <t>P</t>
        </is>
      </c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</row>
    <row r="28">
      <c r="A28" s="6" t="inlineStr">
        <is>
          <t>20MCA307</t>
        </is>
      </c>
      <c r="B28" s="6" t="inlineStr">
        <is>
          <t>PROSENJIT GOSWAMI</t>
        </is>
      </c>
      <c r="C28" s="6" t="n"/>
      <c r="D28" s="6" t="n"/>
      <c r="E28" s="6" t="n"/>
      <c r="F28" s="6" t="n"/>
      <c r="G28" s="6" t="n"/>
      <c r="H28" s="6" t="n"/>
      <c r="I28" s="6" t="inlineStr">
        <is>
          <t>P</t>
        </is>
      </c>
      <c r="J28" s="6" t="inlineStr">
        <is>
          <t>P</t>
        </is>
      </c>
      <c r="K28" s="6" t="inlineStr">
        <is>
          <t>P</t>
        </is>
      </c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</row>
    <row r="29">
      <c r="A29" s="6" t="inlineStr">
        <is>
          <t>20MCA308</t>
        </is>
      </c>
      <c r="B29" s="6" t="inlineStr">
        <is>
          <t>RAHIL AGARWAL</t>
        </is>
      </c>
      <c r="C29" s="6" t="n"/>
      <c r="D29" s="6" t="n"/>
      <c r="E29" s="6" t="n"/>
      <c r="F29" s="6" t="n"/>
      <c r="G29" s="6" t="n"/>
      <c r="H29" s="6" t="n"/>
      <c r="I29" s="6" t="inlineStr">
        <is>
          <t>A</t>
        </is>
      </c>
      <c r="J29" s="6" t="inlineStr">
        <is>
          <t>P</t>
        </is>
      </c>
      <c r="K29" s="6" t="inlineStr">
        <is>
          <t>P</t>
        </is>
      </c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</row>
    <row r="30">
      <c r="A30" s="6" t="inlineStr">
        <is>
          <t>20MCA312</t>
        </is>
      </c>
      <c r="B30" s="10" t="inlineStr">
        <is>
          <t>TASSO TATHO</t>
        </is>
      </c>
      <c r="C30" s="6" t="n"/>
      <c r="D30" s="6" t="n"/>
      <c r="E30" s="6" t="n"/>
      <c r="F30" s="6" t="n"/>
      <c r="G30" s="6" t="n"/>
      <c r="H30" s="6" t="n"/>
      <c r="I30" s="6" t="inlineStr">
        <is>
          <t>P</t>
        </is>
      </c>
      <c r="J30" s="6" t="inlineStr">
        <is>
          <t>P</t>
        </is>
      </c>
      <c r="K30" s="6" t="inlineStr">
        <is>
          <t>P</t>
        </is>
      </c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</row>
  </sheetData>
  <mergeCells count="5">
    <mergeCell ref="R1:T1"/>
    <mergeCell ref="D2:F2"/>
    <mergeCell ref="I2:K2"/>
    <mergeCell ref="A1:L1"/>
    <mergeCell ref="M1:Q1"/>
  </mergeCells>
  <conditionalFormatting sqref="C4:AG5">
    <cfRule dxfId="7" priority="3" type="expression">
      <formula>OR(C$4="sun")</formula>
    </cfRule>
    <cfRule dxfId="6" priority="4" type="expression">
      <formula>COUNTIF(Holidays,C$5)</formula>
    </cfRule>
  </conditionalFormatting>
  <conditionalFormatting sqref="C6:AG9 C10:AB30 AD10:AD30 AF10:AG30">
    <cfRule dxfId="1" priority="1" type="expression">
      <formula>OR(C$4="sun")</formula>
    </cfRule>
    <cfRule dxfId="0" priority="2" type="expression">
      <formula>COUNTIF(Holidays,C$5)</formula>
    </cfRule>
  </conditionalFormatting>
  <conditionalFormatting sqref="AC10:AC30">
    <cfRule dxfId="1" priority="7" type="expression">
      <formula>OR(AC$4="sun")</formula>
    </cfRule>
    <cfRule dxfId="0" priority="8" type="expression">
      <formula>COUNTIF(Holidays,AC$5)</formula>
    </cfRule>
  </conditionalFormatting>
  <conditionalFormatting sqref="AE10:AE30">
    <cfRule dxfId="1" priority="11" type="expression">
      <formula>OR(AE$4="sun")</formula>
    </cfRule>
    <cfRule dxfId="0" priority="12" type="expression">
      <formula>COUNTIF(Holidays,AE$5)</formula>
    </cfRule>
  </conditionalFormatting>
  <dataValidations count="3">
    <dataValidation allowBlank="0" showErrorMessage="1" showInputMessage="1" sqref="M1:Q1" type="list">
      <formula1>Months</formula1>
    </dataValidation>
    <dataValidation allowBlank="0" showErrorMessage="1" showInputMessage="1" sqref="AE7:AE30 C6:AD30 AF6:AG30" type="custom">
      <formula1>C$5&lt;&gt;""</formula1>
    </dataValidation>
    <dataValidation allowBlank="0" error="ENTRY IS NOT ALLOWED" errorTitle="WARNING" showErrorMessage="1" showInputMessage="1" sqref="AE6" type="custom">
      <formula1>AE$5&lt;&gt;""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Aisum Moyong</dc:creator>
  <dcterms:created xsi:type="dcterms:W3CDTF">2015-06-05T18:17:20Z</dcterms:created>
  <dcterms:modified xsi:type="dcterms:W3CDTF">2021-09-09T07:45:36Z</dcterms:modified>
  <cp:lastModifiedBy>Aisum Moyong</cp:lastModifiedBy>
</cp:coreProperties>
</file>